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flpcs\Downloads\"/>
    </mc:Choice>
  </mc:AlternateContent>
  <xr:revisionPtr revIDLastSave="0" documentId="13_ncr:1_{5657D9D7-4D3D-4DFF-82F7-03745AFFBCBC}" xr6:coauthVersionLast="47" xr6:coauthVersionMax="47" xr10:uidLastSave="{00000000-0000-0000-0000-000000000000}"/>
  <bookViews>
    <workbookView xWindow="-20610" yWindow="1635" windowWidth="20730" windowHeight="1104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2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36" i="3"/>
</calcChain>
</file>

<file path=xl/sharedStrings.xml><?xml version="1.0" encoding="utf-8"?>
<sst xmlns="http://schemas.openxmlformats.org/spreadsheetml/2006/main" count="2039" uniqueCount="339">
  <si>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</si>
  <si>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</si>
  <si>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</si>
  <si>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</si>
  <si>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</si>
  <si>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</si>
  <si>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</si>
  <si>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</si>
  <si>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</si>
  <si>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</si>
  <si>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</si>
  <si>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</si>
  <si>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</si>
  <si>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</si>
  <si>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</si>
  <si>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</si>
  <si>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</si>
  <si>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</si>
  <si>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</si>
  <si>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</si>
  <si>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</si>
  <si>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</si>
  <si>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</si>
  <si>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</si>
  <si>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</si>
  <si>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</si>
  <si>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</si>
  <si>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</si>
  <si>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</si>
  <si>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</si>
  <si>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</si>
  <si>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</si>
  <si>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</si>
  <si>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</si>
  <si>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</si>
  <si>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</si>
  <si>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</si>
  <si>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</si>
  <si>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</si>
  <si>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</si>
  <si>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</si>
  <si>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</si>
  <si>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</si>
  <si>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</si>
  <si>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</si>
  <si>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</si>
  <si>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</si>
  <si>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</si>
  <si>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</si>
  <si>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</si>
  <si>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</si>
  <si>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</si>
  <si>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</si>
  <si>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</si>
  <si>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</si>
  <si>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</si>
  <si>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</si>
  <si>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</si>
  <si>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</si>
  <si>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</si>
  <si>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</si>
  <si>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</si>
  <si>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</si>
  <si>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</si>
  <si>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</si>
  <si>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</si>
  <si>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</si>
  <si>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</si>
  <si>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</si>
  <si>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</si>
  <si>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</si>
  <si>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</si>
  <si>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</si>
  <si>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</si>
  <si>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</si>
  <si>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</si>
  <si>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</si>
  <si>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</si>
  <si>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</si>
  <si>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</si>
  <si>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</si>
  <si>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</si>
  <si>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</si>
  <si>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</si>
  <si>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</si>
  <si>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</si>
  <si>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</si>
  <si>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</si>
  <si>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</si>
  <si>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</si>
  <si>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</si>
  <si>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</si>
  <si>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</si>
  <si>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</si>
  <si>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</si>
  <si>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</si>
  <si>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</si>
  <si>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</si>
  <si>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</si>
  <si>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</si>
  <si>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</si>
  <si>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</si>
  <si>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</si>
  <si>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</si>
  <si>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</si>
  <si>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</si>
  <si>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</si>
  <si>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</si>
  <si>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</si>
  <si>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</si>
  <si>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</si>
  <si>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</si>
  <si>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</si>
  <si>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</si>
  <si>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</si>
  <si>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</si>
  <si>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</si>
  <si>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</si>
  <si>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</si>
  <si>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</si>
  <si>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</si>
  <si>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</si>
  <si>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</si>
  <si>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</si>
  <si>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</si>
  <si>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</si>
  <si>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</si>
  <si>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</si>
  <si>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</si>
  <si>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</si>
  <si>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</si>
  <si>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</si>
  <si>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</si>
  <si>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</si>
  <si>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</si>
  <si>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</si>
  <si>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</si>
  <si>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</si>
  <si>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</si>
  <si>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</si>
  <si>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</si>
  <si>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</si>
  <si>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</si>
  <si>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</si>
  <si>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</si>
  <si>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</si>
  <si>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</si>
  <si>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</si>
  <si>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</si>
  <si>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</si>
  <si>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</si>
  <si>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</si>
  <si>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</si>
  <si>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</si>
  <si>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</si>
  <si>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</si>
  <si>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</si>
  <si>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</si>
  <si>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</si>
  <si>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</si>
  <si>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</si>
  <si>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</si>
  <si>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</si>
  <si>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</si>
  <si>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</si>
  <si>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</si>
  <si>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</si>
  <si>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</si>
  <si>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</si>
  <si>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</si>
  <si>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</si>
  <si>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</si>
  <si>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</si>
  <si>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</si>
  <si>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</si>
  <si>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</si>
  <si>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</si>
  <si>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</si>
  <si>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</si>
  <si>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</si>
  <si>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</si>
  <si>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</si>
  <si>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</si>
  <si>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</si>
  <si>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</si>
  <si>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</si>
  <si>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</si>
  <si>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</si>
  <si>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</si>
  <si>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</si>
  <si>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</si>
  <si>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</si>
  <si>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</si>
  <si>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</si>
  <si>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</si>
  <si>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</si>
  <si>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</si>
  <si>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</si>
  <si>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</si>
  <si>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</si>
  <si>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</si>
  <si>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</si>
  <si>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</si>
  <si>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</si>
  <si>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</si>
  <si>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</si>
  <si>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</si>
  <si>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</si>
  <si>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</si>
  <si>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</si>
  <si>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</si>
  <si>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</si>
  <si>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</si>
  <si>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</si>
  <si>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</si>
  <si>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</si>
  <si>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</si>
  <si>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</si>
  <si>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</si>
  <si>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</si>
  <si>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</si>
  <si>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</si>
  <si>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</si>
  <si>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</si>
  <si>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</si>
  <si>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</si>
  <si>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</si>
  <si>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</si>
  <si>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</si>
  <si>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</si>
  <si>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</si>
  <si>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</si>
  <si>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</si>
  <si>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</si>
  <si>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</si>
  <si>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</si>
  <si>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</si>
  <si>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</si>
  <si>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</si>
  <si>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</si>
  <si>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</si>
  <si>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</si>
  <si>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</si>
  <si>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</si>
  <si>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</si>
  <si>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</si>
  <si>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</si>
  <si>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</si>
  <si>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</si>
  <si>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</si>
  <si>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</si>
  <si>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</si>
  <si>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</si>
  <si>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</si>
  <si>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</si>
  <si>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</si>
  <si>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</si>
  <si>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</si>
  <si>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</si>
  <si>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</si>
  <si>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</si>
  <si>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</si>
  <si>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</si>
  <si>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</si>
  <si>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</si>
  <si>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</si>
  <si>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</si>
  <si>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</si>
  <si>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</si>
  <si>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</si>
  <si>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</si>
  <si>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</si>
  <si>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</si>
  <si>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</si>
  <si>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</si>
  <si>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</si>
  <si>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</si>
  <si>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</si>
  <si>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</si>
  <si>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</si>
  <si>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</si>
  <si>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</si>
  <si>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</si>
  <si>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</si>
  <si>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</si>
  <si>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</si>
  <si>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</si>
  <si>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</si>
  <si>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</si>
  <si>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</si>
  <si>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</si>
  <si>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</si>
  <si>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</si>
  <si>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</si>
  <si>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</si>
  <si>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</si>
  <si>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</si>
  <si>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</si>
  <si>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</si>
  <si>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</si>
  <si>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</si>
  <si>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</si>
  <si>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</si>
  <si>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</si>
  <si>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</si>
  <si>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</si>
  <si>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</si>
  <si>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</si>
  <si>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</si>
  <si>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</si>
  <si>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</si>
  <si>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</si>
  <si>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</si>
  <si>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</si>
  <si>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</si>
  <si>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</si>
  <si>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</si>
  <si>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</si>
  <si>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</si>
  <si>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</si>
  <si>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</si>
  <si>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</si>
  <si>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</si>
  <si>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</si>
  <si>
    <t>(Tudo)</t>
  </si>
  <si>
    <t>Pergunta Negócio 5 - Total de Assinaturas de Auto Renewal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</si>
  <si>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</si>
  <si>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</si>
  <si>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</si>
  <si>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</si>
  <si>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</si>
  <si>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</si>
  <si>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</si>
  <si>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</si>
  <si>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</si>
  <si>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</si>
  <si>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</si>
  <si>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</si>
  <si>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Média de Subscription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</si>
</sst>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9BC848"/>
      <color rgb="FF5BF6A8"/>
      <color rgb="FF22C55E"/>
      <color rgb="FFFFFFFF"/>
      <color rgb="FFE8E6E9"/>
      <color rgb="FF2AE6B1"/>
      <color rgb="FF000000"/>
      <color rgb="FFE0E0E0"/>
      <color rgb="FFEDEDED"/>
      <color rgb="FFF7F8FC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3847</c:v>
                </c:pt>
                <c:pt idx="1">
                  <c:v>3786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[0120950e-64c8-4092-a257-ba22ed198c69.xlsx]C̳álculos!Tabela dinâmica1</c:name>
    <c:fmtId val="13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rgbClr val="9BC848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dLblPos val="b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C̳álculos!$C$43</c:f>
              <c:strCache>
                <c:ptCount val="1"/>
                <c:pt idx="0">
                  <c:v>Soma de Total Value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cat>
            <c:strRef>
              <c:f>C̳álculos!$B$44:$B$56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C̳álculos!$C$44:$C$56</c:f>
              <c:numCache>
                <c:formatCode>_("R$"* #,##0.00_);_("R$"* \(#,##0.00\);_("R$"* "-"??_);_(@_)</c:formatCode>
                <c:ptCount val="12"/>
                <c:pt idx="0">
                  <c:v>65</c:v>
                </c:pt>
                <c:pt idx="1">
                  <c:v>82</c:v>
                </c:pt>
                <c:pt idx="2">
                  <c:v>801</c:v>
                </c:pt>
                <c:pt idx="3">
                  <c:v>782</c:v>
                </c:pt>
                <c:pt idx="4">
                  <c:v>777</c:v>
                </c:pt>
                <c:pt idx="5">
                  <c:v>770</c:v>
                </c:pt>
                <c:pt idx="6">
                  <c:v>784</c:v>
                </c:pt>
                <c:pt idx="7">
                  <c:v>787</c:v>
                </c:pt>
                <c:pt idx="8">
                  <c:v>780</c:v>
                </c:pt>
                <c:pt idx="9">
                  <c:v>832</c:v>
                </c:pt>
                <c:pt idx="10">
                  <c:v>784</c:v>
                </c:pt>
                <c:pt idx="11">
                  <c:v>389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36-4F00-A69A-E758DC9DC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4"/>
        <c:axId val="799193407"/>
        <c:axId val="799191487"/>
      </c:barChart>
      <c:lineChart>
        <c:grouping val="standard"/>
        <c:varyColors val="0"/>
        <c:ser>
          <c:idx val="1"/>
          <c:order val="1"/>
          <c:tx>
            <c:strRef>
              <c:f>C̳álculos!$D$43</c:f>
              <c:strCache>
                <c:ptCount val="1"/>
                <c:pt idx="0">
                  <c:v>Média de Subscription Price</c:v>
                </c:pt>
              </c:strCache>
            </c:strRef>
          </c:tx>
          <c:spPr>
            <a:ln w="28575" cap="rnd">
              <a:solidFill>
                <a:srgbClr val="9BC848"/>
              </a:solidFill>
              <a:round/>
            </a:ln>
            <a:effectLst/>
          </c:spPr>
          <c:marker>
            <c:symbol val="none"/>
          </c:marker>
          <c:cat>
            <c:strRef>
              <c:f>C̳álculos!$B$44:$B$56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f>C̳álculos!$D$44:$D$56</c:f>
              <c:numCache>
                <c:formatCode>_("R$"* #,##0.00_);_("R$"* \(#,##0.00\);_("R$"* "-"??_);_(@_)</c:formatCode>
                <c:ptCount val="12"/>
                <c:pt idx="0">
                  <c:v>10</c:v>
                </c:pt>
                <c:pt idx="1">
                  <c:v>12.5</c:v>
                </c:pt>
                <c:pt idx="2">
                  <c:v>9.8387096774193541</c:v>
                </c:pt>
                <c:pt idx="3">
                  <c:v>10</c:v>
                </c:pt>
                <c:pt idx="4">
                  <c:v>9.8387096774193541</c:v>
                </c:pt>
                <c:pt idx="5">
                  <c:v>10</c:v>
                </c:pt>
                <c:pt idx="6">
                  <c:v>9.8387096774193541</c:v>
                </c:pt>
                <c:pt idx="7">
                  <c:v>9.8387096774193541</c:v>
                </c:pt>
                <c:pt idx="8">
                  <c:v>10</c:v>
                </c:pt>
                <c:pt idx="9">
                  <c:v>10.161290322580646</c:v>
                </c:pt>
                <c:pt idx="10">
                  <c:v>10</c:v>
                </c:pt>
                <c:pt idx="11">
                  <c:v>9.6875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36-4F00-A69A-E758DC9DC73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71380879"/>
        <c:axId val="871351119"/>
      </c:lineChart>
      <c:catAx>
        <c:axId val="7991934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191487"/>
        <c:crosses val="autoZero"/>
        <c:auto val="1"/>
        <c:lblAlgn val="ctr"/>
        <c:lblOffset val="200"/>
        <c:noMultiLvlLbl val="0"/>
      </c:catAx>
      <c:valAx>
        <c:axId val="799191487"/>
        <c:scaling>
          <c:orientation val="minMax"/>
        </c:scaling>
        <c:delete val="0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one"/>
        <c:spPr>
          <a:noFill/>
          <a:ln>
            <a:solidFill>
              <a:srgbClr val="FFFFFF">
                <a:alpha val="0"/>
              </a:srgb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799193407"/>
        <c:crosses val="autoZero"/>
        <c:crossBetween val="between"/>
        <c:majorUnit val="500"/>
      </c:valAx>
      <c:valAx>
        <c:axId val="871351119"/>
        <c:scaling>
          <c:orientation val="minMax"/>
        </c:scaling>
        <c:delete val="0"/>
        <c:axPos val="r"/>
        <c:numFmt formatCode="_(&quot;R$&quot;* #,##0.00_);_(&quot;R$&quot;* \(#,##0.00\);_(&quot;R$&quot;* &quot;-&quot;??_);_(@_)" sourceLinked="1"/>
        <c:majorTickMark val="out"/>
        <c:minorTickMark val="none"/>
        <c:tickLblPos val="none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71380879"/>
        <c:crosses val="max"/>
        <c:crossBetween val="between"/>
      </c:valAx>
      <c:catAx>
        <c:axId val="8713808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87135111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.xml"/><Relationship Id="rId3" Type="http://schemas.openxmlformats.org/officeDocument/2006/relationships/image" Target="../media/image8.png"/><Relationship Id="rId7" Type="http://schemas.openxmlformats.org/officeDocument/2006/relationships/image" Target="../media/image6.png"/><Relationship Id="rId2" Type="http://schemas.openxmlformats.org/officeDocument/2006/relationships/image" Target="../media/image7.png"/><Relationship Id="rId1" Type="http://schemas.openxmlformats.org/officeDocument/2006/relationships/image" Target="../media/image11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5370" y="5172074"/>
          <a:ext cx="1555191" cy="712471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91440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91440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82746</xdr:colOff>
      <xdr:row>0</xdr:row>
      <xdr:rowOff>25309</xdr:rowOff>
    </xdr:from>
    <xdr:to>
      <xdr:col>2</xdr:col>
      <xdr:colOff>514061</xdr:colOff>
      <xdr:row>3</xdr:row>
      <xdr:rowOff>28641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55042</xdr:rowOff>
    </xdr:from>
    <xdr:to>
      <xdr:col>0</xdr:col>
      <xdr:colOff>1778726</xdr:colOff>
      <xdr:row>16</xdr:row>
      <xdr:rowOff>19051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15954</xdr:colOff>
      <xdr:row>6</xdr:row>
      <xdr:rowOff>58103</xdr:rowOff>
    </xdr:from>
    <xdr:to>
      <xdr:col>9</xdr:col>
      <xdr:colOff>432197</xdr:colOff>
      <xdr:row>15</xdr:row>
      <xdr:rowOff>130017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50983" y="1161574"/>
          <a:ext cx="4666774" cy="1567816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R$ 2.940,00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764304" y="1165384"/>
          <a:ext cx="4667249" cy="1483996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R$ 3.880,00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476</xdr:colOff>
      <xdr:row>17</xdr:row>
      <xdr:rowOff>92869</xdr:rowOff>
    </xdr:from>
    <xdr:to>
      <xdr:col>9</xdr:col>
      <xdr:colOff>440055</xdr:colOff>
      <xdr:row>34</xdr:row>
      <xdr:rowOff>131445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31695" y="3049429"/>
          <a:ext cx="4686300" cy="3074670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107751</xdr:colOff>
      <xdr:row>5</xdr:row>
      <xdr:rowOff>19819</xdr:rowOff>
    </xdr:from>
    <xdr:to>
      <xdr:col>0</xdr:col>
      <xdr:colOff>1691895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vindo, Usuãrio</a:t>
          </a:r>
        </a:p>
      </xdr:txBody>
    </xdr:sp>
    <xdr:clientData/>
  </xdr:twoCellAnchor>
  <xdr:twoCellAnchor editAs="absolute">
    <xdr:from>
      <xdr:col>1</xdr:col>
      <xdr:colOff>222051</xdr:colOff>
      <xdr:row>2</xdr:row>
      <xdr:rowOff>228280</xdr:rowOff>
    </xdr:from>
    <xdr:to>
      <xdr:col>9</xdr:col>
      <xdr:colOff>316230</xdr:colOff>
      <xdr:row>5</xdr:row>
      <xdr:rowOff>11910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  <xdr:twoCellAnchor>
    <xdr:from>
      <xdr:col>0</xdr:col>
      <xdr:colOff>542925</xdr:colOff>
      <xdr:row>1</xdr:row>
      <xdr:rowOff>9525</xdr:rowOff>
    </xdr:from>
    <xdr:to>
      <xdr:col>0</xdr:col>
      <xdr:colOff>1240155</xdr:colOff>
      <xdr:row>3</xdr:row>
      <xdr:rowOff>76200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76679766-FD5E-4A8C-8CC0-D97350BCDF36}"/>
            </a:ext>
          </a:extLst>
        </xdr:cNvPr>
        <xdr:cNvSpPr/>
      </xdr:nvSpPr>
      <xdr:spPr>
        <a:xfrm>
          <a:off x="542925" y="190500"/>
          <a:ext cx="697230" cy="666750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11</xdr:col>
      <xdr:colOff>57150</xdr:colOff>
      <xdr:row>17</xdr:row>
      <xdr:rowOff>92869</xdr:rowOff>
    </xdr:from>
    <xdr:to>
      <xdr:col>19</xdr:col>
      <xdr:colOff>39529</xdr:colOff>
      <xdr:row>34</xdr:row>
      <xdr:rowOff>152875</xdr:rowOff>
    </xdr:to>
    <xdr:grpSp>
      <xdr:nvGrpSpPr>
        <xdr:cNvPr id="12" name="Agrupar 11">
          <a:extLst>
            <a:ext uri="{FF2B5EF4-FFF2-40B4-BE49-F238E27FC236}">
              <a16:creationId xmlns:a16="http://schemas.microsoft.com/office/drawing/2014/main" id="{12604FE6-2A48-A069-208C-A79248CA7948}"/>
            </a:ext>
          </a:extLst>
        </xdr:cNvPr>
        <xdr:cNvGrpSpPr/>
      </xdr:nvGrpSpPr>
      <xdr:grpSpPr>
        <a:xfrm>
          <a:off x="7649528" y="3049429"/>
          <a:ext cx="4689157" cy="3092290"/>
          <a:chOff x="7677150" y="3074194"/>
          <a:chExt cx="4697254" cy="3136581"/>
        </a:xfrm>
      </xdr:grpSpPr>
      <xdr:sp macro="" textlink="">
        <xdr:nvSpPr>
          <xdr:cNvPr id="11" name="Retângulo: Cantos Arredondados 10">
            <a:extLst>
              <a:ext uri="{FF2B5EF4-FFF2-40B4-BE49-F238E27FC236}">
                <a16:creationId xmlns:a16="http://schemas.microsoft.com/office/drawing/2014/main" id="{EBD10322-864F-4AFD-8DE5-B06565529F9A}"/>
              </a:ext>
            </a:extLst>
          </xdr:cNvPr>
          <xdr:cNvSpPr/>
        </xdr:nvSpPr>
        <xdr:spPr>
          <a:xfrm>
            <a:off x="7677834" y="3097530"/>
            <a:ext cx="4682552" cy="3113245"/>
          </a:xfrm>
          <a:prstGeom prst="roundRect">
            <a:avLst>
              <a:gd name="adj" fmla="val 3606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graphicFrame macro="">
        <xdr:nvGraphicFramePr>
          <xdr:cNvPr id="4" name="Gráfico 3">
            <a:extLst>
              <a:ext uri="{FF2B5EF4-FFF2-40B4-BE49-F238E27FC236}">
                <a16:creationId xmlns:a16="http://schemas.microsoft.com/office/drawing/2014/main" id="{B5DE6317-18B9-4CE0-B0F1-C8ED8DEA4961}"/>
              </a:ext>
            </a:extLst>
          </xdr:cNvPr>
          <xdr:cNvGraphicFramePr>
            <a:graphicFrameLocks/>
          </xdr:cNvGraphicFramePr>
        </xdr:nvGraphicFramePr>
        <xdr:xfrm>
          <a:off x="7717155" y="3802380"/>
          <a:ext cx="4562475" cy="190690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sp macro="" textlink="">
        <xdr:nvSpPr>
          <xdr:cNvPr id="9" name="Retângulo: Cantos Superiores Arredondados 8">
            <a:extLst>
              <a:ext uri="{FF2B5EF4-FFF2-40B4-BE49-F238E27FC236}">
                <a16:creationId xmlns:a16="http://schemas.microsoft.com/office/drawing/2014/main" id="{7DC35BC1-37DB-42B5-AD6C-BF9C14967DC3}"/>
              </a:ext>
            </a:extLst>
          </xdr:cNvPr>
          <xdr:cNvSpPr/>
        </xdr:nvSpPr>
        <xdr:spPr>
          <a:xfrm>
            <a:off x="7677150" y="3074194"/>
            <a:ext cx="4697254" cy="440684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VALUE FOR START DATE 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</a:t>
            </a:r>
            <a:r>
              <a:rPr lang="pt-BR" sz="1100" b="1" kern="1200">
                <a:solidFill>
                  <a:schemeClr val="lt1"/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rPr>
              <a:t>AVAREGE</a:t>
            </a:r>
            <a:r>
              <a:rPr lang="pt-BR" sz="1100" b="1" i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 PRICE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5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 count="294">
        <d v="2024-01-01T00:00:00"/>
        <d v="2024-01-15T00:00:00"/>
        <d v="2024-02-10T00:00:00"/>
        <d v="2024-02-20T00:00:00"/>
        <d v="2024-03-05T00:00:00"/>
        <d v="2024-03-02T00:00:00"/>
        <d v="2024-03-03T00:00:00"/>
        <d v="2024-03-04T00:00:00"/>
        <d v="2024-03-06T00:00:00"/>
        <d v="2024-03-07T00:00:00"/>
        <d v="2024-03-08T00:00:00"/>
        <d v="2024-03-09T00:00:00"/>
        <d v="2024-03-10T00:00:00"/>
        <d v="2024-03-11T00:00:00"/>
        <d v="2024-03-12T00:00:00"/>
        <d v="2024-03-13T00:00:00"/>
        <d v="2024-03-14T00:00:00"/>
        <d v="2024-03-15T00:00:00"/>
        <d v="2024-03-16T00:00:00"/>
        <d v="2024-03-17T00:00:00"/>
        <d v="2024-03-18T00:00:00"/>
        <d v="2024-03-19T00:00:00"/>
        <d v="2024-03-20T00:00:00"/>
        <d v="2024-03-21T00:00:00"/>
        <d v="2024-03-22T00:00:00"/>
        <d v="2024-03-23T00:00:00"/>
        <d v="2024-03-24T00:00:00"/>
        <d v="2024-03-25T00:00:00"/>
        <d v="2024-03-26T00:00:00"/>
        <d v="2024-03-27T00:00:00"/>
        <d v="2024-03-28T00:00:00"/>
        <d v="2024-03-29T00:00:00"/>
        <d v="2024-03-30T00:00:00"/>
        <d v="2024-03-31T00:00:00"/>
        <d v="2024-04-01T00:00:00"/>
        <d v="2024-04-02T00:00:00"/>
        <d v="2024-04-03T00:00:00"/>
        <d v="2024-04-04T00:00:00"/>
        <d v="2024-04-05T00:00:00"/>
        <d v="2024-04-06T00:00:00"/>
        <d v="2024-04-07T00:00:00"/>
        <d v="2024-04-08T00:00:00"/>
        <d v="2024-04-09T00:00:00"/>
        <d v="2024-04-10T00:00:00"/>
        <d v="2024-04-11T00:00:00"/>
        <d v="2024-04-12T00:00:00"/>
        <d v="2024-04-13T00:00:00"/>
        <d v="2024-04-14T00:00:00"/>
        <d v="2024-04-15T00:00:00"/>
        <d v="2024-04-16T00:00:00"/>
        <d v="2024-04-17T00:00:00"/>
        <d v="2024-04-18T00:00:00"/>
        <d v="2024-04-19T00:00:00"/>
        <d v="2024-04-20T00:00:00"/>
        <d v="2024-04-21T00:00:00"/>
        <d v="2024-04-22T00:00:00"/>
        <d v="2024-04-23T00:00:00"/>
        <d v="2024-04-24T00:00:00"/>
        <d v="2024-04-25T00:00:00"/>
        <d v="2024-04-26T00:00:00"/>
        <d v="2024-04-27T00:00:00"/>
        <d v="2024-04-28T00:00:00"/>
        <d v="2024-04-29T00:00:00"/>
        <d v="2024-04-30T00:00:00"/>
        <d v="2024-05-01T00:00:00"/>
        <d v="2024-05-02T00:00:00"/>
        <d v="2024-05-03T00:00:00"/>
        <d v="2024-05-04T00:00:00"/>
        <d v="2024-05-05T00:00:00"/>
        <d v="2024-05-06T00:00:00"/>
        <d v="2024-05-07T00:00:00"/>
        <d v="2024-05-08T00:00:00"/>
        <d v="2024-05-09T00:00:00"/>
        <d v="2024-05-10T00:00:00"/>
        <d v="2024-05-11T00:00:00"/>
        <d v="2024-05-12T00:00:00"/>
        <d v="2024-05-13T00:00:00"/>
        <d v="2024-05-14T00:00:00"/>
        <d v="2024-05-15T00:00:00"/>
        <d v="2024-05-16T00:00:00"/>
        <d v="2024-05-17T00:00:00"/>
        <d v="2024-05-18T00:00:00"/>
        <d v="2024-05-19T00:00:00"/>
        <d v="2024-05-20T00:00:00"/>
        <d v="2024-05-21T00:00:00"/>
        <d v="2024-05-22T00:00:00"/>
        <d v="2024-05-23T00:00:00"/>
        <d v="2024-05-24T00:00:00"/>
        <d v="2024-05-25T00:00:00"/>
        <d v="2024-05-26T00:00:00"/>
        <d v="2024-05-27T00:00:00"/>
        <d v="2024-05-28T00:00:00"/>
        <d v="2024-05-29T00:00:00"/>
        <d v="2024-05-30T00:00:00"/>
        <d v="2024-05-31T00:00:00"/>
        <d v="2024-06-01T00:00:00"/>
        <d v="2024-06-02T00:00:00"/>
        <d v="2024-06-03T00:00:00"/>
        <d v="2024-06-04T00:00:00"/>
        <d v="2024-06-05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6T00:00:00"/>
        <d v="2024-06-17T00:00:00"/>
        <d v="2024-06-18T00:00:00"/>
        <d v="2024-06-19T00:00:00"/>
        <d v="2024-06-20T00:00:00"/>
        <d v="2024-06-21T00:00:00"/>
        <d v="2024-06-22T00:00:00"/>
        <d v="2024-06-23T00:00:00"/>
        <d v="2024-06-24T00:00:00"/>
        <d v="2024-06-25T00:00:00"/>
        <d v="2024-06-26T00:00:00"/>
        <d v="2024-06-27T00:00:00"/>
        <d v="2024-06-28T00:00:00"/>
        <d v="2024-06-29T00:00:00"/>
        <d v="2024-06-30T00:00:00"/>
        <d v="2024-07-01T00:00:00"/>
        <d v="2024-07-02T00:00:00"/>
        <d v="2024-07-03T00:00:00"/>
        <d v="2024-07-04T00:00:00"/>
        <d v="2024-07-05T00:00:00"/>
        <d v="2024-07-06T00:00:00"/>
        <d v="2024-07-07T00:00:00"/>
        <d v="2024-07-08T00:00:00"/>
        <d v="2024-07-09T00:00:00"/>
        <d v="2024-07-10T00:00:00"/>
        <d v="2024-07-11T00:00:00"/>
        <d v="2024-07-12T00:00:00"/>
        <d v="2024-07-13T00:00:00"/>
        <d v="2024-07-14T00:00:00"/>
        <d v="2024-07-15T00:00:00"/>
        <d v="2024-07-16T00:00:00"/>
        <d v="2024-07-17T00:00:00"/>
        <d v="2024-07-18T00:00:00"/>
        <d v="2024-07-19T00:00:00"/>
        <d v="2024-07-20T00:00:00"/>
        <d v="2024-07-21T00:00:00"/>
        <d v="2024-07-22T00:00:00"/>
        <d v="2024-07-23T00:00:00"/>
        <d v="2024-07-24T00:00:00"/>
        <d v="2024-07-25T00:00:00"/>
        <d v="2024-07-26T00:00:00"/>
        <d v="2024-07-27T00:00:00"/>
        <d v="2024-07-28T00:00:00"/>
        <d v="2024-07-29T00:00:00"/>
        <d v="2024-07-30T00:00:00"/>
        <d v="2024-07-31T00:00:00"/>
        <d v="2024-08-01T00:00:00"/>
        <d v="2024-08-02T00:00:00"/>
        <d v="2024-08-03T00:00:00"/>
        <d v="2024-08-04T00:00:00"/>
        <d v="2024-08-05T00:00:00"/>
        <d v="2024-08-06T00:00:00"/>
        <d v="2024-08-07T00:00:00"/>
        <d v="2024-08-08T00:00:00"/>
        <d v="2024-08-09T00:00:00"/>
        <d v="2024-08-10T00:00:00"/>
        <d v="2024-08-11T00:00:00"/>
        <d v="2024-08-12T00:00:00"/>
        <d v="2024-08-13T00:00:00"/>
        <d v="2024-08-14T00:00:00"/>
        <d v="2024-08-15T00:00:00"/>
        <d v="2024-08-16T00:00:00"/>
        <d v="2024-08-17T00:00:00"/>
        <d v="2024-08-18T00:00:00"/>
        <d v="2024-08-19T00:00:00"/>
        <d v="2024-08-20T00:00:00"/>
        <d v="2024-08-21T00:00:00"/>
        <d v="2024-08-22T00:00:00"/>
        <d v="2024-08-23T00:00:00"/>
        <d v="2024-08-24T00:00:00"/>
        <d v="2024-08-25T00:00:00"/>
        <d v="2024-08-26T00:00:00"/>
        <d v="2024-08-27T00:00:00"/>
        <d v="2024-08-28T00:00:00"/>
        <d v="2024-08-29T00:00:00"/>
        <d v="2024-08-30T00:00:00"/>
        <d v="2024-08-31T00:00:00"/>
        <d v="2024-09-01T00:00:00"/>
        <d v="2024-09-02T00:00:00"/>
        <d v="2024-09-03T00:00:00"/>
        <d v="2024-09-04T00:00:00"/>
        <d v="2024-09-05T00:00:00"/>
        <d v="2024-09-06T00:00:00"/>
        <d v="2024-09-07T00:00:00"/>
        <d v="2024-09-08T00:00:00"/>
        <d v="2024-09-09T00:00:00"/>
        <d v="2024-09-10T00:00:00"/>
        <d v="2024-09-11T00:00:00"/>
        <d v="2024-09-12T00:00:00"/>
        <d v="2024-09-13T00:00:00"/>
        <d v="2024-09-14T00:00:00"/>
        <d v="2024-09-15T00:00:00"/>
        <d v="2024-09-16T00:00:00"/>
        <d v="2024-09-17T00:00:00"/>
        <d v="2024-09-18T00:00:00"/>
        <d v="2024-09-19T00:00:00"/>
        <d v="2024-09-20T00:00:00"/>
        <d v="2024-09-21T00:00:00"/>
        <d v="2024-09-22T00:00:00"/>
        <d v="2024-09-23T00:00:00"/>
        <d v="2024-09-24T00:00:00"/>
        <d v="2024-09-25T00:00:00"/>
        <d v="2024-09-26T00:00:00"/>
        <d v="2024-09-27T00:00:00"/>
        <d v="2024-09-28T00:00:00"/>
        <d v="2024-09-29T00:00:00"/>
        <d v="2024-09-30T00:00:00"/>
        <d v="2024-10-01T00:00:00"/>
        <d v="2024-10-02T00:00:00"/>
        <d v="2024-10-03T00:00:00"/>
        <d v="2024-10-04T00:00:00"/>
        <d v="2024-10-05T00:00:00"/>
        <d v="2024-10-06T00:00:00"/>
        <d v="2024-10-07T00:00:00"/>
        <d v="2024-10-08T00:00:00"/>
        <d v="2024-10-09T00:00:00"/>
        <d v="2024-10-10T00:00:00"/>
        <d v="2024-10-11T00:00:00"/>
        <d v="2024-10-12T00:00:00"/>
        <d v="2024-10-13T00:00:00"/>
        <d v="2024-10-14T00:00:00"/>
        <d v="2024-10-15T00:00:00"/>
        <d v="2024-10-16T00:00:00"/>
        <d v="2024-10-17T00:00:00"/>
        <d v="2024-10-18T00:00:00"/>
        <d v="2024-10-19T00:00:00"/>
        <d v="2024-10-20T00:00:00"/>
        <d v="2024-10-21T00:00:00"/>
        <d v="2024-10-22T00:00:00"/>
        <d v="2024-10-23T00:00:00"/>
        <d v="2024-10-24T00:00:00"/>
        <d v="2024-10-25T00:00:00"/>
        <d v="2024-10-26T00:00:00"/>
        <d v="2024-10-27T00:00:00"/>
        <d v="2024-10-28T00:00:00"/>
        <d v="2024-10-29T00:00:00"/>
        <d v="2024-10-30T00:00:00"/>
        <d v="2024-10-31T00:00:00"/>
        <d v="2024-11-01T00:00:00"/>
        <d v="2024-11-02T00:00:00"/>
        <d v="2024-11-03T00:00:00"/>
        <d v="2024-11-04T00:00:00"/>
        <d v="2024-11-05T00:00:00"/>
        <d v="2024-11-06T00:00:00"/>
        <d v="2024-11-07T00:00:00"/>
        <d v="2024-11-08T00:00:00"/>
        <d v="2024-11-09T00:00:00"/>
        <d v="2024-11-10T00:00:00"/>
        <d v="2024-11-11T00:00:00"/>
        <d v="2024-11-12T00:00:00"/>
        <d v="2024-11-13T00:00:00"/>
        <d v="2024-11-14T00:00:00"/>
        <d v="2024-11-15T00:00:00"/>
        <d v="2024-11-16T00:00:00"/>
        <d v="2024-11-17T00:00:00"/>
        <d v="2024-11-18T00:00:00"/>
        <d v="2024-11-19T00:00:00"/>
        <d v="2024-11-20T00:00:00"/>
        <d v="2024-11-21T00:00:00"/>
        <d v="2024-11-22T00:00:00"/>
        <d v="2024-11-23T00:00:00"/>
        <d v="2024-11-24T00:00:00"/>
        <d v="2024-11-25T00:00:00"/>
        <d v="2024-11-26T00:00:00"/>
        <d v="2024-11-27T00:00:00"/>
        <d v="2024-11-28T00:00:00"/>
        <d v="2024-11-29T00:00:00"/>
        <d v="2024-11-30T00:00:00"/>
        <d v="2024-12-01T00:00:00"/>
        <d v="2024-12-02T00:00:00"/>
        <d v="2024-12-03T00:00:00"/>
        <d v="2024-12-04T00:00:00"/>
        <d v="2024-12-05T00:00:00"/>
        <d v="2024-12-06T00:00:00"/>
        <d v="2024-12-07T00:00:00"/>
        <d v="2024-12-08T00:00:00"/>
        <d v="2024-12-09T00:00:00"/>
        <d v="2024-12-10T00:00:00"/>
        <d v="2024-12-11T00:00:00"/>
        <d v="2024-12-12T00:00:00"/>
        <d v="2024-12-13T00:00:00"/>
        <d v="2024-12-14T00:00:00"/>
        <d v="2024-12-15T00:00:00"/>
        <d v="2024-12-16T00:00:00"/>
      </sharedItems>
      <fieldGroup par="14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 count="3">
        <n v="15"/>
        <n v="5"/>
        <n v="10"/>
      </sharedItems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  <cacheField name="Dias (Start Date)" numFmtId="0" databaseField="0">
      <fieldGroup base="3">
        <rangePr groupBy="days" startDate="2024-01-01T00:00:00" endDate="2024-12-17T00:00:00"/>
        <groupItems count="368">
          <s v="&lt;01/01/2024"/>
          <s v="01/jan"/>
          <s v="02/jan"/>
          <s v="03/jan"/>
          <s v="04/jan"/>
          <s v="05/jan"/>
          <s v="06/jan"/>
          <s v="07/jan"/>
          <s v="08/jan"/>
          <s v="09/jan"/>
          <s v="10/jan"/>
          <s v="11/jan"/>
          <s v="12/jan"/>
          <s v="13/jan"/>
          <s v="14/jan"/>
          <s v="15/jan"/>
          <s v="16/jan"/>
          <s v="17/jan"/>
          <s v="18/jan"/>
          <s v="19/jan"/>
          <s v="20/jan"/>
          <s v="21/jan"/>
          <s v="22/jan"/>
          <s v="23/jan"/>
          <s v="24/jan"/>
          <s v="25/jan"/>
          <s v="26/jan"/>
          <s v="27/jan"/>
          <s v="28/jan"/>
          <s v="29/jan"/>
          <s v="30/jan"/>
          <s v="31/jan"/>
          <s v="01/fev"/>
          <s v="02/fev"/>
          <s v="03/fev"/>
          <s v="04/fev"/>
          <s v="05/fev"/>
          <s v="06/fev"/>
          <s v="07/fev"/>
          <s v="08/fev"/>
          <s v="09/fev"/>
          <s v="10/fev"/>
          <s v="11/fev"/>
          <s v="12/fev"/>
          <s v="13/fev"/>
          <s v="14/fev"/>
          <s v="15/fev"/>
          <s v="16/fev"/>
          <s v="17/fev"/>
          <s v="18/fev"/>
          <s v="19/fev"/>
          <s v="20/fev"/>
          <s v="21/fev"/>
          <s v="22/fev"/>
          <s v="23/fev"/>
          <s v="24/fev"/>
          <s v="25/fev"/>
          <s v="26/fev"/>
          <s v="27/fev"/>
          <s v="28/fev"/>
          <s v="29/fev"/>
          <s v="01/mar"/>
          <s v="02/mar"/>
          <s v="03/mar"/>
          <s v="04/mar"/>
          <s v="05/mar"/>
          <s v="06/mar"/>
          <s v="07/mar"/>
          <s v="08/mar"/>
          <s v="09/mar"/>
          <s v="10/mar"/>
          <s v="11/mar"/>
          <s v="12/mar"/>
          <s v="13/mar"/>
          <s v="14/mar"/>
          <s v="15/mar"/>
          <s v="16/mar"/>
          <s v="17/mar"/>
          <s v="18/mar"/>
          <s v="19/mar"/>
          <s v="20/mar"/>
          <s v="21/mar"/>
          <s v="22/mar"/>
          <s v="23/mar"/>
          <s v="24/mar"/>
          <s v="25/mar"/>
          <s v="26/mar"/>
          <s v="27/mar"/>
          <s v="28/mar"/>
          <s v="29/mar"/>
          <s v="30/mar"/>
          <s v="31/mar"/>
          <s v="01/abr"/>
          <s v="02/abr"/>
          <s v="03/abr"/>
          <s v="04/abr"/>
          <s v="05/abr"/>
          <s v="06/abr"/>
          <s v="07/abr"/>
          <s v="08/abr"/>
          <s v="09/abr"/>
          <s v="10/abr"/>
          <s v="11/abr"/>
          <s v="12/abr"/>
          <s v="13/abr"/>
          <s v="14/abr"/>
          <s v="15/abr"/>
          <s v="16/abr"/>
          <s v="17/abr"/>
          <s v="18/abr"/>
          <s v="19/abr"/>
          <s v="20/abr"/>
          <s v="21/abr"/>
          <s v="22/abr"/>
          <s v="23/abr"/>
          <s v="24/abr"/>
          <s v="25/abr"/>
          <s v="26/abr"/>
          <s v="27/abr"/>
          <s v="28/abr"/>
          <s v="29/abr"/>
          <s v="30/abr"/>
          <s v="01/mai"/>
          <s v="02/mai"/>
          <s v="03/mai"/>
          <s v="04/mai"/>
          <s v="05/mai"/>
          <s v="06/mai"/>
          <s v="07/mai"/>
          <s v="08/mai"/>
          <s v="09/mai"/>
          <s v="10/mai"/>
          <s v="11/mai"/>
          <s v="12/mai"/>
          <s v="13/mai"/>
          <s v="14/mai"/>
          <s v="15/mai"/>
          <s v="16/mai"/>
          <s v="17/mai"/>
          <s v="18/mai"/>
          <s v="19/mai"/>
          <s v="20/mai"/>
          <s v="21/mai"/>
          <s v="22/mai"/>
          <s v="23/mai"/>
          <s v="24/mai"/>
          <s v="25/mai"/>
          <s v="26/mai"/>
          <s v="27/mai"/>
          <s v="28/mai"/>
          <s v="29/mai"/>
          <s v="30/mai"/>
          <s v="31/mai"/>
          <s v="01/jun"/>
          <s v="02/jun"/>
          <s v="03/jun"/>
          <s v="04/jun"/>
          <s v="05/jun"/>
          <s v="06/jun"/>
          <s v="07/jun"/>
          <s v="08/jun"/>
          <s v="09/jun"/>
          <s v="10/jun"/>
          <s v="11/jun"/>
          <s v="12/jun"/>
          <s v="13/jun"/>
          <s v="14/jun"/>
          <s v="15/jun"/>
          <s v="16/jun"/>
          <s v="17/jun"/>
          <s v="18/jun"/>
          <s v="19/jun"/>
          <s v="20/jun"/>
          <s v="21/jun"/>
          <s v="22/jun"/>
          <s v="23/jun"/>
          <s v="24/jun"/>
          <s v="25/jun"/>
          <s v="26/jun"/>
          <s v="27/jun"/>
          <s v="28/jun"/>
          <s v="29/jun"/>
          <s v="30/jun"/>
          <s v="01/jul"/>
          <s v="02/jul"/>
          <s v="03/jul"/>
          <s v="04/jul"/>
          <s v="05/jul"/>
          <s v="06/jul"/>
          <s v="07/jul"/>
          <s v="08/jul"/>
          <s v="09/jul"/>
          <s v="10/jul"/>
          <s v="11/jul"/>
          <s v="12/jul"/>
          <s v="13/jul"/>
          <s v="14/jul"/>
          <s v="15/jul"/>
          <s v="16/jul"/>
          <s v="17/jul"/>
          <s v="18/jul"/>
          <s v="19/jul"/>
          <s v="20/jul"/>
          <s v="21/jul"/>
          <s v="22/jul"/>
          <s v="23/jul"/>
          <s v="24/jul"/>
          <s v="25/jul"/>
          <s v="26/jul"/>
          <s v="27/jul"/>
          <s v="28/jul"/>
          <s v="29/jul"/>
          <s v="30/jul"/>
          <s v="31/jul"/>
          <s v="01/ago"/>
          <s v="02/ago"/>
          <s v="03/ago"/>
          <s v="04/ago"/>
          <s v="05/ago"/>
          <s v="06/ago"/>
          <s v="07/ago"/>
          <s v="08/ago"/>
          <s v="09/ago"/>
          <s v="10/ago"/>
          <s v="11/ago"/>
          <s v="12/ago"/>
          <s v="13/ago"/>
          <s v="14/ago"/>
          <s v="15/ago"/>
          <s v="16/ago"/>
          <s v="17/ago"/>
          <s v="18/ago"/>
          <s v="19/ago"/>
          <s v="20/ago"/>
          <s v="21/ago"/>
          <s v="22/ago"/>
          <s v="23/ago"/>
          <s v="24/ago"/>
          <s v="25/ago"/>
          <s v="26/ago"/>
          <s v="27/ago"/>
          <s v="28/ago"/>
          <s v="29/ago"/>
          <s v="30/ago"/>
          <s v="31/ago"/>
          <s v="01/set"/>
          <s v="02/set"/>
          <s v="03/set"/>
          <s v="04/set"/>
          <s v="05/set"/>
          <s v="06/set"/>
          <s v="07/set"/>
          <s v="08/set"/>
          <s v="09/set"/>
          <s v="10/set"/>
          <s v="11/set"/>
          <s v="12/set"/>
          <s v="13/set"/>
          <s v="14/set"/>
          <s v="15/set"/>
          <s v="16/set"/>
          <s v="17/set"/>
          <s v="18/set"/>
          <s v="19/set"/>
          <s v="20/set"/>
          <s v="21/set"/>
          <s v="22/set"/>
          <s v="23/set"/>
          <s v="24/set"/>
          <s v="25/set"/>
          <s v="26/set"/>
          <s v="27/set"/>
          <s v="28/set"/>
          <s v="29/set"/>
          <s v="30/set"/>
          <s v="01/out"/>
          <s v="02/out"/>
          <s v="03/out"/>
          <s v="04/out"/>
          <s v="05/out"/>
          <s v="06/out"/>
          <s v="07/out"/>
          <s v="08/out"/>
          <s v="09/out"/>
          <s v="10/out"/>
          <s v="11/out"/>
          <s v="12/out"/>
          <s v="13/out"/>
          <s v="14/out"/>
          <s v="15/out"/>
          <s v="16/out"/>
          <s v="17/out"/>
          <s v="18/out"/>
          <s v="19/out"/>
          <s v="20/out"/>
          <s v="21/out"/>
          <s v="22/out"/>
          <s v="23/out"/>
          <s v="24/out"/>
          <s v="25/out"/>
          <s v="26/out"/>
          <s v="27/out"/>
          <s v="28/out"/>
          <s v="29/out"/>
          <s v="30/out"/>
          <s v="31/out"/>
          <s v="01/nov"/>
          <s v="02/nov"/>
          <s v="03/nov"/>
          <s v="04/nov"/>
          <s v="05/nov"/>
          <s v="06/nov"/>
          <s v="07/nov"/>
          <s v="08/nov"/>
          <s v="09/nov"/>
          <s v="10/nov"/>
          <s v="11/nov"/>
          <s v="12/nov"/>
          <s v="13/nov"/>
          <s v="14/nov"/>
          <s v="15/nov"/>
          <s v="16/nov"/>
          <s v="17/nov"/>
          <s v="18/nov"/>
          <s v="19/nov"/>
          <s v="20/nov"/>
          <s v="21/nov"/>
          <s v="22/nov"/>
          <s v="23/nov"/>
          <s v="24/nov"/>
          <s v="25/nov"/>
          <s v="26/nov"/>
          <s v="27/nov"/>
          <s v="28/nov"/>
          <s v="29/nov"/>
          <s v="30/nov"/>
          <s v="01/dez"/>
          <s v="02/dez"/>
          <s v="03/dez"/>
          <s v="04/dez"/>
          <s v="05/dez"/>
          <s v="06/dez"/>
          <s v="07/dez"/>
          <s v="08/dez"/>
          <s v="09/dez"/>
          <s v="10/dez"/>
          <s v="11/dez"/>
          <s v="12/dez"/>
          <s v="13/dez"/>
          <s v="14/dez"/>
          <s v="15/dez"/>
          <s v="16/dez"/>
          <s v="17/dez"/>
          <s v="18/dez"/>
          <s v="19/dez"/>
          <s v="20/dez"/>
          <s v="21/dez"/>
          <s v="22/dez"/>
          <s v="23/dez"/>
          <s v="24/dez"/>
          <s v="25/dez"/>
          <s v="26/dez"/>
          <s v="27/dez"/>
          <s v="28/dez"/>
          <s v="29/dez"/>
          <s v="30/dez"/>
          <s v="31/dez"/>
          <s v="&gt;17/12/2024"/>
        </groupItems>
      </fieldGroup>
    </cacheField>
    <cacheField name="Meses (Start Date)" numFmtId="0" databaseField="0">
      <fieldGroup base="3">
        <rangePr groupBy="months" startDate="2024-01-01T00:00:00" endDate="2024-12-17T00:00:00"/>
        <groupItems count="14">
          <s v="&lt;01/01/2024"/>
          <s v="jan"/>
          <s v="fev"/>
          <s v="mar"/>
          <s v="abr"/>
          <s v="mai"/>
          <s v="jun"/>
          <s v="jul"/>
          <s v="ago"/>
          <s v="set"/>
          <s v="out"/>
          <s v="nov"/>
          <s v="dez"/>
          <s v="&gt;17/12/2024"/>
        </groupItems>
      </fieldGroup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x v="0"/>
    <x v="0"/>
    <x v="0"/>
    <x v="0"/>
    <s v="Yes"/>
    <x v="0"/>
    <s v="Yes"/>
    <n v="20"/>
    <n v="5"/>
    <n v="60"/>
  </r>
  <r>
    <n v="3232"/>
    <x v="1"/>
    <x v="1"/>
    <x v="1"/>
    <x v="1"/>
    <x v="1"/>
    <x v="1"/>
    <s v="No"/>
    <x v="1"/>
    <s v="No"/>
    <n v="0"/>
    <n v="0"/>
    <n v="5"/>
  </r>
  <r>
    <n v="3233"/>
    <x v="2"/>
    <x v="2"/>
    <x v="2"/>
    <x v="0"/>
    <x v="2"/>
    <x v="2"/>
    <s v="No"/>
    <x v="1"/>
    <s v="Yes"/>
    <n v="20"/>
    <n v="10"/>
    <n v="20"/>
  </r>
  <r>
    <n v="3234"/>
    <x v="3"/>
    <x v="0"/>
    <x v="3"/>
    <x v="1"/>
    <x v="0"/>
    <x v="0"/>
    <s v="Yes"/>
    <x v="0"/>
    <s v="Yes"/>
    <n v="20"/>
    <n v="3"/>
    <n v="62"/>
  </r>
  <r>
    <n v="3235"/>
    <x v="4"/>
    <x v="1"/>
    <x v="4"/>
    <x v="0"/>
    <x v="1"/>
    <x v="0"/>
    <s v="No"/>
    <x v="1"/>
    <s v="No"/>
    <n v="0"/>
    <n v="1"/>
    <n v="4"/>
  </r>
  <r>
    <n v="3236"/>
    <x v="5"/>
    <x v="2"/>
    <x v="5"/>
    <x v="1"/>
    <x v="2"/>
    <x v="0"/>
    <s v="No"/>
    <x v="1"/>
    <s v="Yes"/>
    <n v="20"/>
    <n v="2"/>
    <n v="28"/>
  </r>
  <r>
    <n v="3237"/>
    <x v="6"/>
    <x v="0"/>
    <x v="6"/>
    <x v="0"/>
    <x v="0"/>
    <x v="2"/>
    <s v="Yes"/>
    <x v="0"/>
    <s v="Yes"/>
    <n v="20"/>
    <n v="10"/>
    <n v="55"/>
  </r>
  <r>
    <n v="3238"/>
    <x v="7"/>
    <x v="1"/>
    <x v="7"/>
    <x v="0"/>
    <x v="1"/>
    <x v="1"/>
    <s v="No"/>
    <x v="1"/>
    <s v="No"/>
    <n v="0"/>
    <n v="0"/>
    <n v="5"/>
  </r>
  <r>
    <n v="3239"/>
    <x v="8"/>
    <x v="0"/>
    <x v="4"/>
    <x v="1"/>
    <x v="0"/>
    <x v="0"/>
    <s v="Yes"/>
    <x v="0"/>
    <s v="Yes"/>
    <n v="20"/>
    <n v="5"/>
    <n v="60"/>
  </r>
  <r>
    <n v="3240"/>
    <x v="9"/>
    <x v="2"/>
    <x v="8"/>
    <x v="0"/>
    <x v="2"/>
    <x v="2"/>
    <s v="No"/>
    <x v="1"/>
    <s v="Yes"/>
    <n v="20"/>
    <n v="15"/>
    <n v="15"/>
  </r>
  <r>
    <n v="3241"/>
    <x v="10"/>
    <x v="1"/>
    <x v="9"/>
    <x v="1"/>
    <x v="1"/>
    <x v="0"/>
    <s v="No"/>
    <x v="1"/>
    <s v="No"/>
    <n v="0"/>
    <n v="1"/>
    <n v="4"/>
  </r>
  <r>
    <n v="3242"/>
    <x v="11"/>
    <x v="0"/>
    <x v="10"/>
    <x v="0"/>
    <x v="0"/>
    <x v="1"/>
    <s v="Yes"/>
    <x v="0"/>
    <s v="Yes"/>
    <n v="20"/>
    <n v="20"/>
    <n v="45"/>
  </r>
  <r>
    <n v="3243"/>
    <x v="12"/>
    <x v="2"/>
    <x v="11"/>
    <x v="1"/>
    <x v="2"/>
    <x v="0"/>
    <s v="No"/>
    <x v="1"/>
    <s v="Yes"/>
    <n v="20"/>
    <n v="10"/>
    <n v="20"/>
  </r>
  <r>
    <n v="3244"/>
    <x v="13"/>
    <x v="1"/>
    <x v="12"/>
    <x v="0"/>
    <x v="1"/>
    <x v="2"/>
    <s v="No"/>
    <x v="1"/>
    <s v="No"/>
    <n v="0"/>
    <n v="0"/>
    <n v="5"/>
  </r>
  <r>
    <n v="3245"/>
    <x v="14"/>
    <x v="0"/>
    <x v="13"/>
    <x v="1"/>
    <x v="0"/>
    <x v="0"/>
    <s v="Yes"/>
    <x v="0"/>
    <s v="Yes"/>
    <n v="20"/>
    <n v="8"/>
    <n v="57"/>
  </r>
  <r>
    <n v="3246"/>
    <x v="15"/>
    <x v="2"/>
    <x v="14"/>
    <x v="0"/>
    <x v="2"/>
    <x v="1"/>
    <s v="No"/>
    <x v="1"/>
    <s v="Yes"/>
    <n v="20"/>
    <n v="12"/>
    <n v="18"/>
  </r>
  <r>
    <n v="3247"/>
    <x v="16"/>
    <x v="1"/>
    <x v="15"/>
    <x v="1"/>
    <x v="1"/>
    <x v="0"/>
    <s v="No"/>
    <x v="1"/>
    <s v="No"/>
    <n v="0"/>
    <n v="2"/>
    <n v="3"/>
  </r>
  <r>
    <n v="3248"/>
    <x v="17"/>
    <x v="0"/>
    <x v="16"/>
    <x v="0"/>
    <x v="0"/>
    <x v="2"/>
    <s v="Yes"/>
    <x v="0"/>
    <s v="Yes"/>
    <n v="20"/>
    <n v="7"/>
    <n v="58"/>
  </r>
  <r>
    <n v="3249"/>
    <x v="18"/>
    <x v="2"/>
    <x v="17"/>
    <x v="1"/>
    <x v="2"/>
    <x v="0"/>
    <s v="No"/>
    <x v="1"/>
    <s v="Yes"/>
    <n v="20"/>
    <n v="5"/>
    <n v="25"/>
  </r>
  <r>
    <n v="3250"/>
    <x v="19"/>
    <x v="1"/>
    <x v="18"/>
    <x v="0"/>
    <x v="1"/>
    <x v="1"/>
    <s v="No"/>
    <x v="1"/>
    <s v="No"/>
    <n v="0"/>
    <n v="0"/>
    <n v="5"/>
  </r>
  <r>
    <n v="3251"/>
    <x v="20"/>
    <x v="0"/>
    <x v="19"/>
    <x v="1"/>
    <x v="0"/>
    <x v="0"/>
    <s v="Yes"/>
    <x v="0"/>
    <s v="Yes"/>
    <n v="20"/>
    <n v="3"/>
    <n v="62"/>
  </r>
  <r>
    <n v="3252"/>
    <x v="21"/>
    <x v="2"/>
    <x v="20"/>
    <x v="0"/>
    <x v="2"/>
    <x v="2"/>
    <s v="No"/>
    <x v="1"/>
    <s v="Yes"/>
    <n v="20"/>
    <n v="15"/>
    <n v="15"/>
  </r>
  <r>
    <n v="3253"/>
    <x v="22"/>
    <x v="1"/>
    <x v="21"/>
    <x v="1"/>
    <x v="1"/>
    <x v="0"/>
    <s v="No"/>
    <x v="1"/>
    <s v="No"/>
    <n v="0"/>
    <n v="1"/>
    <n v="4"/>
  </r>
  <r>
    <n v="3254"/>
    <x v="23"/>
    <x v="0"/>
    <x v="22"/>
    <x v="0"/>
    <x v="0"/>
    <x v="1"/>
    <s v="Yes"/>
    <x v="0"/>
    <s v="Yes"/>
    <n v="20"/>
    <n v="20"/>
    <n v="45"/>
  </r>
  <r>
    <n v="3255"/>
    <x v="24"/>
    <x v="2"/>
    <x v="23"/>
    <x v="1"/>
    <x v="2"/>
    <x v="0"/>
    <s v="No"/>
    <x v="1"/>
    <s v="Yes"/>
    <n v="20"/>
    <n v="10"/>
    <n v="20"/>
  </r>
  <r>
    <n v="3256"/>
    <x v="25"/>
    <x v="1"/>
    <x v="24"/>
    <x v="0"/>
    <x v="1"/>
    <x v="2"/>
    <s v="No"/>
    <x v="1"/>
    <s v="No"/>
    <n v="0"/>
    <n v="0"/>
    <n v="5"/>
  </r>
  <r>
    <n v="3257"/>
    <x v="26"/>
    <x v="0"/>
    <x v="25"/>
    <x v="1"/>
    <x v="0"/>
    <x v="0"/>
    <s v="Yes"/>
    <x v="0"/>
    <s v="Yes"/>
    <n v="20"/>
    <n v="5"/>
    <n v="60"/>
  </r>
  <r>
    <n v="3258"/>
    <x v="27"/>
    <x v="2"/>
    <x v="26"/>
    <x v="0"/>
    <x v="2"/>
    <x v="1"/>
    <s v="No"/>
    <x v="1"/>
    <s v="Yes"/>
    <n v="20"/>
    <n v="15"/>
    <n v="15"/>
  </r>
  <r>
    <n v="3259"/>
    <x v="28"/>
    <x v="1"/>
    <x v="27"/>
    <x v="1"/>
    <x v="1"/>
    <x v="0"/>
    <s v="No"/>
    <x v="1"/>
    <s v="No"/>
    <n v="0"/>
    <n v="1"/>
    <n v="4"/>
  </r>
  <r>
    <n v="3260"/>
    <x v="29"/>
    <x v="0"/>
    <x v="28"/>
    <x v="0"/>
    <x v="0"/>
    <x v="2"/>
    <s v="Yes"/>
    <x v="0"/>
    <s v="Yes"/>
    <n v="20"/>
    <n v="7"/>
    <n v="58"/>
  </r>
  <r>
    <n v="3261"/>
    <x v="30"/>
    <x v="2"/>
    <x v="29"/>
    <x v="1"/>
    <x v="2"/>
    <x v="0"/>
    <s v="No"/>
    <x v="1"/>
    <s v="Yes"/>
    <n v="20"/>
    <n v="10"/>
    <n v="20"/>
  </r>
  <r>
    <n v="3262"/>
    <x v="31"/>
    <x v="1"/>
    <x v="30"/>
    <x v="0"/>
    <x v="1"/>
    <x v="1"/>
    <s v="No"/>
    <x v="1"/>
    <s v="No"/>
    <n v="0"/>
    <n v="0"/>
    <n v="5"/>
  </r>
  <r>
    <n v="3263"/>
    <x v="32"/>
    <x v="0"/>
    <x v="31"/>
    <x v="1"/>
    <x v="0"/>
    <x v="0"/>
    <s v="Yes"/>
    <x v="0"/>
    <s v="Yes"/>
    <n v="20"/>
    <n v="3"/>
    <n v="62"/>
  </r>
  <r>
    <n v="3264"/>
    <x v="33"/>
    <x v="2"/>
    <x v="32"/>
    <x v="0"/>
    <x v="2"/>
    <x v="2"/>
    <s v="No"/>
    <x v="1"/>
    <s v="Yes"/>
    <n v="20"/>
    <n v="15"/>
    <n v="15"/>
  </r>
  <r>
    <n v="3265"/>
    <x v="34"/>
    <x v="1"/>
    <x v="33"/>
    <x v="1"/>
    <x v="1"/>
    <x v="0"/>
    <s v="No"/>
    <x v="1"/>
    <s v="No"/>
    <n v="0"/>
    <n v="1"/>
    <n v="4"/>
  </r>
  <r>
    <n v="3266"/>
    <x v="35"/>
    <x v="1"/>
    <x v="34"/>
    <x v="0"/>
    <x v="1"/>
    <x v="0"/>
    <s v="No"/>
    <x v="1"/>
    <s v="No"/>
    <n v="0"/>
    <n v="0"/>
    <n v="5"/>
  </r>
  <r>
    <n v="3267"/>
    <x v="36"/>
    <x v="0"/>
    <x v="35"/>
    <x v="1"/>
    <x v="0"/>
    <x v="2"/>
    <s v="Yes"/>
    <x v="0"/>
    <s v="Yes"/>
    <n v="20"/>
    <n v="7"/>
    <n v="58"/>
  </r>
  <r>
    <n v="3268"/>
    <x v="37"/>
    <x v="2"/>
    <x v="36"/>
    <x v="0"/>
    <x v="2"/>
    <x v="1"/>
    <s v="No"/>
    <x v="1"/>
    <s v="Yes"/>
    <n v="20"/>
    <n v="10"/>
    <n v="20"/>
  </r>
  <r>
    <n v="3269"/>
    <x v="38"/>
    <x v="1"/>
    <x v="37"/>
    <x v="1"/>
    <x v="1"/>
    <x v="2"/>
    <s v="No"/>
    <x v="1"/>
    <s v="No"/>
    <n v="0"/>
    <n v="1"/>
    <n v="4"/>
  </r>
  <r>
    <n v="3270"/>
    <x v="39"/>
    <x v="0"/>
    <x v="38"/>
    <x v="0"/>
    <x v="0"/>
    <x v="0"/>
    <s v="Yes"/>
    <x v="0"/>
    <s v="Yes"/>
    <n v="20"/>
    <n v="15"/>
    <n v="50"/>
  </r>
  <r>
    <n v="3271"/>
    <x v="40"/>
    <x v="2"/>
    <x v="39"/>
    <x v="1"/>
    <x v="2"/>
    <x v="0"/>
    <s v="No"/>
    <x v="1"/>
    <s v="Yes"/>
    <n v="20"/>
    <n v="5"/>
    <n v="25"/>
  </r>
  <r>
    <n v="3272"/>
    <x v="41"/>
    <x v="1"/>
    <x v="40"/>
    <x v="0"/>
    <x v="1"/>
    <x v="1"/>
    <s v="No"/>
    <x v="1"/>
    <s v="No"/>
    <n v="0"/>
    <n v="0"/>
    <n v="5"/>
  </r>
  <r>
    <n v="3273"/>
    <x v="42"/>
    <x v="0"/>
    <x v="41"/>
    <x v="1"/>
    <x v="0"/>
    <x v="2"/>
    <s v="Yes"/>
    <x v="0"/>
    <s v="Yes"/>
    <n v="20"/>
    <n v="20"/>
    <n v="45"/>
  </r>
  <r>
    <n v="3274"/>
    <x v="43"/>
    <x v="2"/>
    <x v="42"/>
    <x v="0"/>
    <x v="2"/>
    <x v="2"/>
    <s v="No"/>
    <x v="1"/>
    <s v="Yes"/>
    <n v="20"/>
    <n v="12"/>
    <n v="18"/>
  </r>
  <r>
    <n v="3275"/>
    <x v="44"/>
    <x v="1"/>
    <x v="43"/>
    <x v="1"/>
    <x v="1"/>
    <x v="0"/>
    <s v="No"/>
    <x v="1"/>
    <s v="No"/>
    <n v="0"/>
    <n v="2"/>
    <n v="3"/>
  </r>
  <r>
    <n v="3276"/>
    <x v="45"/>
    <x v="0"/>
    <x v="44"/>
    <x v="0"/>
    <x v="0"/>
    <x v="1"/>
    <s v="Yes"/>
    <x v="0"/>
    <s v="Yes"/>
    <n v="20"/>
    <n v="5"/>
    <n v="60"/>
  </r>
  <r>
    <n v="3277"/>
    <x v="46"/>
    <x v="2"/>
    <x v="45"/>
    <x v="1"/>
    <x v="2"/>
    <x v="0"/>
    <s v="No"/>
    <x v="1"/>
    <s v="Yes"/>
    <n v="20"/>
    <n v="10"/>
    <n v="20"/>
  </r>
  <r>
    <n v="3278"/>
    <x v="47"/>
    <x v="1"/>
    <x v="46"/>
    <x v="0"/>
    <x v="1"/>
    <x v="2"/>
    <s v="No"/>
    <x v="1"/>
    <s v="No"/>
    <n v="0"/>
    <n v="0"/>
    <n v="5"/>
  </r>
  <r>
    <n v="3279"/>
    <x v="48"/>
    <x v="0"/>
    <x v="47"/>
    <x v="1"/>
    <x v="0"/>
    <x v="0"/>
    <s v="Yes"/>
    <x v="0"/>
    <s v="Yes"/>
    <n v="20"/>
    <n v="3"/>
    <n v="62"/>
  </r>
  <r>
    <n v="3280"/>
    <x v="49"/>
    <x v="2"/>
    <x v="48"/>
    <x v="0"/>
    <x v="2"/>
    <x v="1"/>
    <s v="No"/>
    <x v="1"/>
    <s v="Yes"/>
    <n v="20"/>
    <n v="15"/>
    <n v="15"/>
  </r>
  <r>
    <n v="3281"/>
    <x v="50"/>
    <x v="1"/>
    <x v="49"/>
    <x v="1"/>
    <x v="1"/>
    <x v="0"/>
    <s v="No"/>
    <x v="1"/>
    <s v="No"/>
    <n v="0"/>
    <n v="1"/>
    <n v="4"/>
  </r>
  <r>
    <n v="3282"/>
    <x v="51"/>
    <x v="0"/>
    <x v="50"/>
    <x v="0"/>
    <x v="0"/>
    <x v="2"/>
    <s v="Yes"/>
    <x v="0"/>
    <s v="Yes"/>
    <n v="20"/>
    <n v="7"/>
    <n v="58"/>
  </r>
  <r>
    <n v="3283"/>
    <x v="52"/>
    <x v="2"/>
    <x v="51"/>
    <x v="1"/>
    <x v="2"/>
    <x v="0"/>
    <s v="No"/>
    <x v="1"/>
    <s v="Yes"/>
    <n v="20"/>
    <n v="10"/>
    <n v="20"/>
  </r>
  <r>
    <n v="3284"/>
    <x v="53"/>
    <x v="1"/>
    <x v="52"/>
    <x v="0"/>
    <x v="1"/>
    <x v="1"/>
    <s v="No"/>
    <x v="1"/>
    <s v="No"/>
    <n v="0"/>
    <n v="0"/>
    <n v="5"/>
  </r>
  <r>
    <n v="3285"/>
    <x v="54"/>
    <x v="0"/>
    <x v="53"/>
    <x v="1"/>
    <x v="0"/>
    <x v="0"/>
    <s v="Yes"/>
    <x v="0"/>
    <s v="Yes"/>
    <n v="20"/>
    <n v="20"/>
    <n v="45"/>
  </r>
  <r>
    <n v="3286"/>
    <x v="55"/>
    <x v="2"/>
    <x v="54"/>
    <x v="0"/>
    <x v="2"/>
    <x v="2"/>
    <s v="No"/>
    <x v="1"/>
    <s v="Yes"/>
    <n v="20"/>
    <n v="15"/>
    <n v="15"/>
  </r>
  <r>
    <n v="3287"/>
    <x v="56"/>
    <x v="1"/>
    <x v="55"/>
    <x v="1"/>
    <x v="1"/>
    <x v="0"/>
    <s v="No"/>
    <x v="1"/>
    <s v="No"/>
    <n v="0"/>
    <n v="1"/>
    <n v="4"/>
  </r>
  <r>
    <n v="3288"/>
    <x v="57"/>
    <x v="0"/>
    <x v="56"/>
    <x v="0"/>
    <x v="0"/>
    <x v="1"/>
    <s v="Yes"/>
    <x v="0"/>
    <s v="Yes"/>
    <n v="20"/>
    <n v="3"/>
    <n v="62"/>
  </r>
  <r>
    <n v="3289"/>
    <x v="58"/>
    <x v="2"/>
    <x v="57"/>
    <x v="1"/>
    <x v="2"/>
    <x v="0"/>
    <s v="No"/>
    <x v="1"/>
    <s v="Yes"/>
    <n v="20"/>
    <n v="10"/>
    <n v="20"/>
  </r>
  <r>
    <n v="3290"/>
    <x v="59"/>
    <x v="1"/>
    <x v="58"/>
    <x v="0"/>
    <x v="1"/>
    <x v="2"/>
    <s v="No"/>
    <x v="1"/>
    <s v="No"/>
    <n v="0"/>
    <n v="0"/>
    <n v="5"/>
  </r>
  <r>
    <n v="3291"/>
    <x v="60"/>
    <x v="0"/>
    <x v="59"/>
    <x v="1"/>
    <x v="0"/>
    <x v="0"/>
    <s v="Yes"/>
    <x v="0"/>
    <s v="Yes"/>
    <n v="20"/>
    <n v="5"/>
    <n v="60"/>
  </r>
  <r>
    <n v="3292"/>
    <x v="61"/>
    <x v="2"/>
    <x v="60"/>
    <x v="0"/>
    <x v="2"/>
    <x v="1"/>
    <s v="No"/>
    <x v="1"/>
    <s v="Yes"/>
    <n v="20"/>
    <n v="15"/>
    <n v="15"/>
  </r>
  <r>
    <n v="3293"/>
    <x v="62"/>
    <x v="1"/>
    <x v="61"/>
    <x v="1"/>
    <x v="1"/>
    <x v="0"/>
    <s v="No"/>
    <x v="1"/>
    <s v="No"/>
    <n v="0"/>
    <n v="1"/>
    <n v="4"/>
  </r>
  <r>
    <n v="3294"/>
    <x v="63"/>
    <x v="0"/>
    <x v="62"/>
    <x v="0"/>
    <x v="0"/>
    <x v="2"/>
    <s v="Yes"/>
    <x v="0"/>
    <s v="Yes"/>
    <n v="20"/>
    <n v="20"/>
    <n v="45"/>
  </r>
  <r>
    <n v="3295"/>
    <x v="64"/>
    <x v="2"/>
    <x v="63"/>
    <x v="1"/>
    <x v="2"/>
    <x v="0"/>
    <s v="No"/>
    <x v="1"/>
    <s v="Yes"/>
    <n v="20"/>
    <n v="5"/>
    <n v="25"/>
  </r>
  <r>
    <n v="3296"/>
    <x v="65"/>
    <x v="1"/>
    <x v="64"/>
    <x v="1"/>
    <x v="1"/>
    <x v="0"/>
    <s v="No"/>
    <x v="1"/>
    <s v="No"/>
    <n v="0"/>
    <n v="0"/>
    <n v="5"/>
  </r>
  <r>
    <n v="3297"/>
    <x v="66"/>
    <x v="0"/>
    <x v="65"/>
    <x v="0"/>
    <x v="0"/>
    <x v="2"/>
    <s v="Yes"/>
    <x v="0"/>
    <s v="Yes"/>
    <n v="20"/>
    <n v="7"/>
    <n v="58"/>
  </r>
  <r>
    <n v="3298"/>
    <x v="67"/>
    <x v="2"/>
    <x v="66"/>
    <x v="1"/>
    <x v="2"/>
    <x v="1"/>
    <s v="No"/>
    <x v="1"/>
    <s v="Yes"/>
    <n v="20"/>
    <n v="10"/>
    <n v="20"/>
  </r>
  <r>
    <n v="3299"/>
    <x v="68"/>
    <x v="1"/>
    <x v="67"/>
    <x v="0"/>
    <x v="1"/>
    <x v="2"/>
    <s v="No"/>
    <x v="1"/>
    <s v="No"/>
    <n v="0"/>
    <n v="1"/>
    <n v="4"/>
  </r>
  <r>
    <n v="3300"/>
    <x v="69"/>
    <x v="0"/>
    <x v="68"/>
    <x v="1"/>
    <x v="0"/>
    <x v="0"/>
    <s v="Yes"/>
    <x v="0"/>
    <s v="Yes"/>
    <n v="20"/>
    <n v="15"/>
    <n v="50"/>
  </r>
  <r>
    <n v="3301"/>
    <x v="70"/>
    <x v="2"/>
    <x v="69"/>
    <x v="0"/>
    <x v="2"/>
    <x v="0"/>
    <s v="No"/>
    <x v="1"/>
    <s v="Yes"/>
    <n v="20"/>
    <n v="5"/>
    <n v="25"/>
  </r>
  <r>
    <n v="3302"/>
    <x v="71"/>
    <x v="1"/>
    <x v="70"/>
    <x v="1"/>
    <x v="1"/>
    <x v="1"/>
    <s v="No"/>
    <x v="1"/>
    <s v="No"/>
    <n v="0"/>
    <n v="0"/>
    <n v="5"/>
  </r>
  <r>
    <n v="3303"/>
    <x v="72"/>
    <x v="0"/>
    <x v="71"/>
    <x v="0"/>
    <x v="0"/>
    <x v="2"/>
    <s v="Yes"/>
    <x v="0"/>
    <s v="Yes"/>
    <n v="20"/>
    <n v="20"/>
    <n v="45"/>
  </r>
  <r>
    <n v="3304"/>
    <x v="73"/>
    <x v="2"/>
    <x v="72"/>
    <x v="1"/>
    <x v="2"/>
    <x v="2"/>
    <s v="No"/>
    <x v="1"/>
    <s v="Yes"/>
    <n v="20"/>
    <n v="12"/>
    <n v="18"/>
  </r>
  <r>
    <n v="3305"/>
    <x v="74"/>
    <x v="1"/>
    <x v="73"/>
    <x v="0"/>
    <x v="1"/>
    <x v="0"/>
    <s v="No"/>
    <x v="1"/>
    <s v="No"/>
    <n v="0"/>
    <n v="2"/>
    <n v="3"/>
  </r>
  <r>
    <n v="3306"/>
    <x v="75"/>
    <x v="0"/>
    <x v="74"/>
    <x v="1"/>
    <x v="0"/>
    <x v="1"/>
    <s v="Yes"/>
    <x v="0"/>
    <s v="Yes"/>
    <n v="20"/>
    <n v="5"/>
    <n v="60"/>
  </r>
  <r>
    <n v="3307"/>
    <x v="76"/>
    <x v="2"/>
    <x v="75"/>
    <x v="0"/>
    <x v="2"/>
    <x v="0"/>
    <s v="No"/>
    <x v="1"/>
    <s v="Yes"/>
    <n v="20"/>
    <n v="10"/>
    <n v="20"/>
  </r>
  <r>
    <n v="3308"/>
    <x v="77"/>
    <x v="1"/>
    <x v="76"/>
    <x v="1"/>
    <x v="1"/>
    <x v="2"/>
    <s v="No"/>
    <x v="1"/>
    <s v="No"/>
    <n v="0"/>
    <n v="0"/>
    <n v="5"/>
  </r>
  <r>
    <n v="3309"/>
    <x v="78"/>
    <x v="0"/>
    <x v="77"/>
    <x v="0"/>
    <x v="0"/>
    <x v="0"/>
    <s v="Yes"/>
    <x v="0"/>
    <s v="Yes"/>
    <n v="20"/>
    <n v="3"/>
    <n v="62"/>
  </r>
  <r>
    <n v="3310"/>
    <x v="79"/>
    <x v="2"/>
    <x v="78"/>
    <x v="1"/>
    <x v="2"/>
    <x v="1"/>
    <s v="No"/>
    <x v="1"/>
    <s v="Yes"/>
    <n v="20"/>
    <n v="15"/>
    <n v="15"/>
  </r>
  <r>
    <n v="3311"/>
    <x v="80"/>
    <x v="1"/>
    <x v="79"/>
    <x v="0"/>
    <x v="1"/>
    <x v="0"/>
    <s v="No"/>
    <x v="1"/>
    <s v="No"/>
    <n v="0"/>
    <n v="1"/>
    <n v="4"/>
  </r>
  <r>
    <n v="3312"/>
    <x v="81"/>
    <x v="0"/>
    <x v="80"/>
    <x v="1"/>
    <x v="0"/>
    <x v="2"/>
    <s v="Yes"/>
    <x v="0"/>
    <s v="Yes"/>
    <n v="20"/>
    <n v="7"/>
    <n v="58"/>
  </r>
  <r>
    <n v="3313"/>
    <x v="82"/>
    <x v="2"/>
    <x v="81"/>
    <x v="0"/>
    <x v="2"/>
    <x v="0"/>
    <s v="No"/>
    <x v="1"/>
    <s v="Yes"/>
    <n v="20"/>
    <n v="10"/>
    <n v="20"/>
  </r>
  <r>
    <n v="3314"/>
    <x v="83"/>
    <x v="1"/>
    <x v="82"/>
    <x v="1"/>
    <x v="1"/>
    <x v="1"/>
    <s v="No"/>
    <x v="1"/>
    <s v="No"/>
    <n v="0"/>
    <n v="0"/>
    <n v="5"/>
  </r>
  <r>
    <n v="3315"/>
    <x v="84"/>
    <x v="0"/>
    <x v="83"/>
    <x v="0"/>
    <x v="0"/>
    <x v="0"/>
    <s v="Yes"/>
    <x v="0"/>
    <s v="Yes"/>
    <n v="20"/>
    <n v="20"/>
    <n v="45"/>
  </r>
  <r>
    <n v="3316"/>
    <x v="85"/>
    <x v="2"/>
    <x v="84"/>
    <x v="1"/>
    <x v="2"/>
    <x v="2"/>
    <s v="No"/>
    <x v="1"/>
    <s v="Yes"/>
    <n v="20"/>
    <n v="15"/>
    <n v="15"/>
  </r>
  <r>
    <n v="3317"/>
    <x v="86"/>
    <x v="1"/>
    <x v="85"/>
    <x v="0"/>
    <x v="1"/>
    <x v="0"/>
    <s v="No"/>
    <x v="1"/>
    <s v="No"/>
    <n v="0"/>
    <n v="1"/>
    <n v="4"/>
  </r>
  <r>
    <n v="3318"/>
    <x v="87"/>
    <x v="0"/>
    <x v="86"/>
    <x v="1"/>
    <x v="0"/>
    <x v="1"/>
    <s v="Yes"/>
    <x v="0"/>
    <s v="Yes"/>
    <n v="20"/>
    <n v="3"/>
    <n v="62"/>
  </r>
  <r>
    <n v="3319"/>
    <x v="88"/>
    <x v="2"/>
    <x v="87"/>
    <x v="0"/>
    <x v="2"/>
    <x v="0"/>
    <s v="No"/>
    <x v="1"/>
    <s v="Yes"/>
    <n v="20"/>
    <n v="10"/>
    <n v="20"/>
  </r>
  <r>
    <n v="3320"/>
    <x v="89"/>
    <x v="1"/>
    <x v="88"/>
    <x v="1"/>
    <x v="1"/>
    <x v="2"/>
    <s v="No"/>
    <x v="1"/>
    <s v="No"/>
    <n v="0"/>
    <n v="0"/>
    <n v="5"/>
  </r>
  <r>
    <n v="3321"/>
    <x v="90"/>
    <x v="0"/>
    <x v="89"/>
    <x v="0"/>
    <x v="0"/>
    <x v="0"/>
    <s v="Yes"/>
    <x v="0"/>
    <s v="Yes"/>
    <n v="20"/>
    <n v="5"/>
    <n v="60"/>
  </r>
  <r>
    <n v="3322"/>
    <x v="91"/>
    <x v="2"/>
    <x v="90"/>
    <x v="1"/>
    <x v="2"/>
    <x v="1"/>
    <s v="No"/>
    <x v="1"/>
    <s v="Yes"/>
    <n v="20"/>
    <n v="15"/>
    <n v="15"/>
  </r>
  <r>
    <n v="3323"/>
    <x v="92"/>
    <x v="1"/>
    <x v="91"/>
    <x v="0"/>
    <x v="1"/>
    <x v="0"/>
    <s v="No"/>
    <x v="1"/>
    <s v="No"/>
    <n v="0"/>
    <n v="1"/>
    <n v="4"/>
  </r>
  <r>
    <n v="3324"/>
    <x v="93"/>
    <x v="0"/>
    <x v="92"/>
    <x v="1"/>
    <x v="0"/>
    <x v="2"/>
    <s v="Yes"/>
    <x v="0"/>
    <s v="Yes"/>
    <n v="20"/>
    <n v="20"/>
    <n v="45"/>
  </r>
  <r>
    <n v="3325"/>
    <x v="94"/>
    <x v="2"/>
    <x v="93"/>
    <x v="0"/>
    <x v="2"/>
    <x v="2"/>
    <s v="No"/>
    <x v="1"/>
    <s v="Yes"/>
    <n v="20"/>
    <n v="15"/>
    <n v="15"/>
  </r>
  <r>
    <n v="3326"/>
    <x v="95"/>
    <x v="1"/>
    <x v="94"/>
    <x v="1"/>
    <x v="1"/>
    <x v="1"/>
    <s v="No"/>
    <x v="1"/>
    <s v="No"/>
    <n v="0"/>
    <n v="0"/>
    <n v="5"/>
  </r>
  <r>
    <n v="3327"/>
    <x v="96"/>
    <x v="0"/>
    <x v="95"/>
    <x v="0"/>
    <x v="0"/>
    <x v="0"/>
    <s v="Yes"/>
    <x v="0"/>
    <s v="Yes"/>
    <n v="20"/>
    <n v="7"/>
    <n v="58"/>
  </r>
  <r>
    <n v="3328"/>
    <x v="97"/>
    <x v="2"/>
    <x v="96"/>
    <x v="1"/>
    <x v="2"/>
    <x v="1"/>
    <s v="No"/>
    <x v="1"/>
    <s v="Yes"/>
    <n v="20"/>
    <n v="10"/>
    <n v="20"/>
  </r>
  <r>
    <n v="3329"/>
    <x v="98"/>
    <x v="1"/>
    <x v="97"/>
    <x v="0"/>
    <x v="1"/>
    <x v="2"/>
    <s v="No"/>
    <x v="1"/>
    <s v="No"/>
    <n v="0"/>
    <n v="1"/>
    <n v="4"/>
  </r>
  <r>
    <n v="3330"/>
    <x v="99"/>
    <x v="0"/>
    <x v="98"/>
    <x v="1"/>
    <x v="0"/>
    <x v="0"/>
    <s v="Yes"/>
    <x v="0"/>
    <s v="Yes"/>
    <n v="20"/>
    <n v="15"/>
    <n v="50"/>
  </r>
  <r>
    <n v="3331"/>
    <x v="100"/>
    <x v="2"/>
    <x v="99"/>
    <x v="0"/>
    <x v="2"/>
    <x v="0"/>
    <s v="No"/>
    <x v="1"/>
    <s v="Yes"/>
    <n v="20"/>
    <n v="5"/>
    <n v="25"/>
  </r>
  <r>
    <n v="3332"/>
    <x v="101"/>
    <x v="1"/>
    <x v="100"/>
    <x v="1"/>
    <x v="1"/>
    <x v="1"/>
    <s v="No"/>
    <x v="1"/>
    <s v="No"/>
    <n v="0"/>
    <n v="0"/>
    <n v="5"/>
  </r>
  <r>
    <n v="3333"/>
    <x v="102"/>
    <x v="0"/>
    <x v="101"/>
    <x v="0"/>
    <x v="0"/>
    <x v="2"/>
    <s v="Yes"/>
    <x v="0"/>
    <s v="Yes"/>
    <n v="20"/>
    <n v="20"/>
    <n v="45"/>
  </r>
  <r>
    <n v="3334"/>
    <x v="103"/>
    <x v="2"/>
    <x v="102"/>
    <x v="1"/>
    <x v="2"/>
    <x v="2"/>
    <s v="No"/>
    <x v="1"/>
    <s v="Yes"/>
    <n v="20"/>
    <n v="12"/>
    <n v="18"/>
  </r>
  <r>
    <n v="3335"/>
    <x v="104"/>
    <x v="1"/>
    <x v="103"/>
    <x v="0"/>
    <x v="1"/>
    <x v="0"/>
    <s v="No"/>
    <x v="1"/>
    <s v="No"/>
    <n v="0"/>
    <n v="2"/>
    <n v="3"/>
  </r>
  <r>
    <n v="3336"/>
    <x v="105"/>
    <x v="1"/>
    <x v="104"/>
    <x v="0"/>
    <x v="1"/>
    <x v="0"/>
    <s v="No"/>
    <x v="1"/>
    <s v="No"/>
    <n v="0"/>
    <n v="0"/>
    <n v="5"/>
  </r>
  <r>
    <n v="3337"/>
    <x v="106"/>
    <x v="0"/>
    <x v="105"/>
    <x v="1"/>
    <x v="0"/>
    <x v="2"/>
    <s v="Yes"/>
    <x v="0"/>
    <s v="Yes"/>
    <n v="20"/>
    <n v="7"/>
    <n v="58"/>
  </r>
  <r>
    <n v="3338"/>
    <x v="107"/>
    <x v="2"/>
    <x v="106"/>
    <x v="0"/>
    <x v="2"/>
    <x v="1"/>
    <s v="No"/>
    <x v="1"/>
    <s v="Yes"/>
    <n v="20"/>
    <n v="10"/>
    <n v="20"/>
  </r>
  <r>
    <n v="3339"/>
    <x v="108"/>
    <x v="1"/>
    <x v="107"/>
    <x v="1"/>
    <x v="1"/>
    <x v="2"/>
    <s v="No"/>
    <x v="1"/>
    <s v="No"/>
    <n v="0"/>
    <n v="1"/>
    <n v="4"/>
  </r>
  <r>
    <n v="3340"/>
    <x v="109"/>
    <x v="0"/>
    <x v="108"/>
    <x v="0"/>
    <x v="0"/>
    <x v="0"/>
    <s v="Yes"/>
    <x v="0"/>
    <s v="Yes"/>
    <n v="20"/>
    <n v="15"/>
    <n v="50"/>
  </r>
  <r>
    <n v="3341"/>
    <x v="110"/>
    <x v="2"/>
    <x v="109"/>
    <x v="1"/>
    <x v="2"/>
    <x v="0"/>
    <s v="No"/>
    <x v="1"/>
    <s v="Yes"/>
    <n v="20"/>
    <n v="5"/>
    <n v="25"/>
  </r>
  <r>
    <n v="3342"/>
    <x v="111"/>
    <x v="1"/>
    <x v="110"/>
    <x v="0"/>
    <x v="1"/>
    <x v="1"/>
    <s v="No"/>
    <x v="1"/>
    <s v="No"/>
    <n v="0"/>
    <n v="0"/>
    <n v="5"/>
  </r>
  <r>
    <n v="3343"/>
    <x v="112"/>
    <x v="0"/>
    <x v="111"/>
    <x v="1"/>
    <x v="0"/>
    <x v="2"/>
    <s v="Yes"/>
    <x v="0"/>
    <s v="Yes"/>
    <n v="20"/>
    <n v="20"/>
    <n v="45"/>
  </r>
  <r>
    <n v="3344"/>
    <x v="113"/>
    <x v="2"/>
    <x v="112"/>
    <x v="0"/>
    <x v="2"/>
    <x v="2"/>
    <s v="No"/>
    <x v="1"/>
    <s v="Yes"/>
    <n v="20"/>
    <n v="12"/>
    <n v="18"/>
  </r>
  <r>
    <n v="3345"/>
    <x v="114"/>
    <x v="1"/>
    <x v="113"/>
    <x v="1"/>
    <x v="1"/>
    <x v="0"/>
    <s v="No"/>
    <x v="1"/>
    <s v="No"/>
    <n v="0"/>
    <n v="2"/>
    <n v="3"/>
  </r>
  <r>
    <n v="3346"/>
    <x v="115"/>
    <x v="0"/>
    <x v="114"/>
    <x v="0"/>
    <x v="0"/>
    <x v="1"/>
    <s v="Yes"/>
    <x v="0"/>
    <s v="Yes"/>
    <n v="20"/>
    <n v="5"/>
    <n v="60"/>
  </r>
  <r>
    <n v="3347"/>
    <x v="116"/>
    <x v="2"/>
    <x v="115"/>
    <x v="1"/>
    <x v="2"/>
    <x v="0"/>
    <s v="No"/>
    <x v="1"/>
    <s v="Yes"/>
    <n v="20"/>
    <n v="10"/>
    <n v="20"/>
  </r>
  <r>
    <n v="3348"/>
    <x v="117"/>
    <x v="1"/>
    <x v="116"/>
    <x v="0"/>
    <x v="1"/>
    <x v="2"/>
    <s v="No"/>
    <x v="1"/>
    <s v="No"/>
    <n v="0"/>
    <n v="0"/>
    <n v="5"/>
  </r>
  <r>
    <n v="3349"/>
    <x v="93"/>
    <x v="0"/>
    <x v="117"/>
    <x v="1"/>
    <x v="0"/>
    <x v="0"/>
    <s v="Yes"/>
    <x v="0"/>
    <s v="Yes"/>
    <n v="20"/>
    <n v="3"/>
    <n v="62"/>
  </r>
  <r>
    <n v="3350"/>
    <x v="118"/>
    <x v="2"/>
    <x v="118"/>
    <x v="0"/>
    <x v="2"/>
    <x v="1"/>
    <s v="No"/>
    <x v="1"/>
    <s v="Yes"/>
    <n v="20"/>
    <n v="15"/>
    <n v="15"/>
  </r>
  <r>
    <n v="3351"/>
    <x v="119"/>
    <x v="1"/>
    <x v="119"/>
    <x v="1"/>
    <x v="1"/>
    <x v="0"/>
    <s v="No"/>
    <x v="1"/>
    <s v="No"/>
    <n v="0"/>
    <n v="1"/>
    <n v="4"/>
  </r>
  <r>
    <n v="3352"/>
    <x v="120"/>
    <x v="0"/>
    <x v="120"/>
    <x v="0"/>
    <x v="0"/>
    <x v="2"/>
    <s v="Yes"/>
    <x v="0"/>
    <s v="Yes"/>
    <n v="20"/>
    <n v="7"/>
    <n v="58"/>
  </r>
  <r>
    <n v="3353"/>
    <x v="121"/>
    <x v="2"/>
    <x v="121"/>
    <x v="1"/>
    <x v="2"/>
    <x v="0"/>
    <s v="No"/>
    <x v="1"/>
    <s v="Yes"/>
    <n v="20"/>
    <n v="10"/>
    <n v="20"/>
  </r>
  <r>
    <n v="3354"/>
    <x v="122"/>
    <x v="1"/>
    <x v="122"/>
    <x v="0"/>
    <x v="1"/>
    <x v="1"/>
    <s v="No"/>
    <x v="1"/>
    <s v="No"/>
    <n v="0"/>
    <n v="0"/>
    <n v="5"/>
  </r>
  <r>
    <n v="3355"/>
    <x v="123"/>
    <x v="0"/>
    <x v="123"/>
    <x v="1"/>
    <x v="0"/>
    <x v="0"/>
    <s v="Yes"/>
    <x v="0"/>
    <s v="Yes"/>
    <n v="20"/>
    <n v="20"/>
    <n v="45"/>
  </r>
  <r>
    <n v="3356"/>
    <x v="124"/>
    <x v="2"/>
    <x v="124"/>
    <x v="0"/>
    <x v="2"/>
    <x v="2"/>
    <s v="No"/>
    <x v="1"/>
    <s v="Yes"/>
    <n v="20"/>
    <n v="15"/>
    <n v="15"/>
  </r>
  <r>
    <n v="3357"/>
    <x v="125"/>
    <x v="1"/>
    <x v="125"/>
    <x v="1"/>
    <x v="1"/>
    <x v="0"/>
    <s v="No"/>
    <x v="1"/>
    <s v="No"/>
    <n v="0"/>
    <n v="1"/>
    <n v="4"/>
  </r>
  <r>
    <n v="3358"/>
    <x v="126"/>
    <x v="0"/>
    <x v="126"/>
    <x v="0"/>
    <x v="0"/>
    <x v="1"/>
    <s v="Yes"/>
    <x v="0"/>
    <s v="Yes"/>
    <n v="20"/>
    <n v="3"/>
    <n v="62"/>
  </r>
  <r>
    <n v="3359"/>
    <x v="127"/>
    <x v="2"/>
    <x v="127"/>
    <x v="1"/>
    <x v="2"/>
    <x v="0"/>
    <s v="No"/>
    <x v="1"/>
    <s v="Yes"/>
    <n v="20"/>
    <n v="10"/>
    <n v="20"/>
  </r>
  <r>
    <n v="3360"/>
    <x v="128"/>
    <x v="1"/>
    <x v="128"/>
    <x v="0"/>
    <x v="1"/>
    <x v="2"/>
    <s v="No"/>
    <x v="1"/>
    <s v="No"/>
    <n v="0"/>
    <n v="0"/>
    <n v="5"/>
  </r>
  <r>
    <n v="3361"/>
    <x v="129"/>
    <x v="0"/>
    <x v="129"/>
    <x v="1"/>
    <x v="0"/>
    <x v="0"/>
    <s v="Yes"/>
    <x v="0"/>
    <s v="Yes"/>
    <n v="20"/>
    <n v="15"/>
    <n v="50"/>
  </r>
  <r>
    <n v="3362"/>
    <x v="130"/>
    <x v="2"/>
    <x v="130"/>
    <x v="0"/>
    <x v="2"/>
    <x v="1"/>
    <s v="No"/>
    <x v="1"/>
    <s v="Yes"/>
    <n v="20"/>
    <n v="15"/>
    <n v="15"/>
  </r>
  <r>
    <n v="3363"/>
    <x v="131"/>
    <x v="1"/>
    <x v="131"/>
    <x v="1"/>
    <x v="1"/>
    <x v="0"/>
    <s v="No"/>
    <x v="1"/>
    <s v="No"/>
    <n v="0"/>
    <n v="1"/>
    <n v="4"/>
  </r>
  <r>
    <n v="3364"/>
    <x v="132"/>
    <x v="0"/>
    <x v="132"/>
    <x v="0"/>
    <x v="0"/>
    <x v="2"/>
    <s v="Yes"/>
    <x v="0"/>
    <s v="Yes"/>
    <n v="20"/>
    <n v="7"/>
    <n v="58"/>
  </r>
  <r>
    <n v="3365"/>
    <x v="133"/>
    <x v="2"/>
    <x v="133"/>
    <x v="1"/>
    <x v="2"/>
    <x v="0"/>
    <s v="No"/>
    <x v="1"/>
    <s v="Yes"/>
    <n v="20"/>
    <n v="10"/>
    <n v="20"/>
  </r>
  <r>
    <n v="3366"/>
    <x v="134"/>
    <x v="1"/>
    <x v="134"/>
    <x v="0"/>
    <x v="1"/>
    <x v="0"/>
    <s v="No"/>
    <x v="1"/>
    <s v="No"/>
    <n v="0"/>
    <n v="0"/>
    <n v="5"/>
  </r>
  <r>
    <n v="3367"/>
    <x v="135"/>
    <x v="0"/>
    <x v="135"/>
    <x v="1"/>
    <x v="0"/>
    <x v="2"/>
    <s v="Yes"/>
    <x v="0"/>
    <s v="Yes"/>
    <n v="20"/>
    <n v="7"/>
    <n v="58"/>
  </r>
  <r>
    <n v="3368"/>
    <x v="136"/>
    <x v="2"/>
    <x v="136"/>
    <x v="0"/>
    <x v="2"/>
    <x v="1"/>
    <s v="No"/>
    <x v="1"/>
    <s v="Yes"/>
    <n v="20"/>
    <n v="10"/>
    <n v="20"/>
  </r>
  <r>
    <n v="3369"/>
    <x v="137"/>
    <x v="1"/>
    <x v="137"/>
    <x v="1"/>
    <x v="1"/>
    <x v="2"/>
    <s v="No"/>
    <x v="1"/>
    <s v="No"/>
    <n v="0"/>
    <n v="1"/>
    <n v="4"/>
  </r>
  <r>
    <n v="3370"/>
    <x v="138"/>
    <x v="0"/>
    <x v="138"/>
    <x v="0"/>
    <x v="0"/>
    <x v="0"/>
    <s v="Yes"/>
    <x v="0"/>
    <s v="Yes"/>
    <n v="20"/>
    <n v="15"/>
    <n v="50"/>
  </r>
  <r>
    <n v="3371"/>
    <x v="139"/>
    <x v="2"/>
    <x v="139"/>
    <x v="1"/>
    <x v="2"/>
    <x v="0"/>
    <s v="No"/>
    <x v="1"/>
    <s v="Yes"/>
    <n v="20"/>
    <n v="5"/>
    <n v="25"/>
  </r>
  <r>
    <n v="3372"/>
    <x v="140"/>
    <x v="1"/>
    <x v="140"/>
    <x v="0"/>
    <x v="1"/>
    <x v="1"/>
    <s v="No"/>
    <x v="1"/>
    <s v="No"/>
    <n v="0"/>
    <n v="0"/>
    <n v="5"/>
  </r>
  <r>
    <n v="3373"/>
    <x v="141"/>
    <x v="0"/>
    <x v="141"/>
    <x v="1"/>
    <x v="0"/>
    <x v="2"/>
    <s v="Yes"/>
    <x v="0"/>
    <s v="Yes"/>
    <n v="20"/>
    <n v="20"/>
    <n v="45"/>
  </r>
  <r>
    <n v="3374"/>
    <x v="142"/>
    <x v="2"/>
    <x v="142"/>
    <x v="0"/>
    <x v="2"/>
    <x v="2"/>
    <s v="No"/>
    <x v="1"/>
    <s v="Yes"/>
    <n v="20"/>
    <n v="12"/>
    <n v="18"/>
  </r>
  <r>
    <n v="3375"/>
    <x v="143"/>
    <x v="1"/>
    <x v="143"/>
    <x v="1"/>
    <x v="1"/>
    <x v="0"/>
    <s v="No"/>
    <x v="1"/>
    <s v="No"/>
    <n v="0"/>
    <n v="2"/>
    <n v="3"/>
  </r>
  <r>
    <n v="3376"/>
    <x v="144"/>
    <x v="0"/>
    <x v="144"/>
    <x v="0"/>
    <x v="0"/>
    <x v="1"/>
    <s v="Yes"/>
    <x v="0"/>
    <s v="Yes"/>
    <n v="20"/>
    <n v="5"/>
    <n v="60"/>
  </r>
  <r>
    <n v="3377"/>
    <x v="145"/>
    <x v="2"/>
    <x v="145"/>
    <x v="1"/>
    <x v="2"/>
    <x v="0"/>
    <s v="No"/>
    <x v="1"/>
    <s v="Yes"/>
    <n v="20"/>
    <n v="10"/>
    <n v="20"/>
  </r>
  <r>
    <n v="3378"/>
    <x v="146"/>
    <x v="1"/>
    <x v="146"/>
    <x v="0"/>
    <x v="1"/>
    <x v="2"/>
    <s v="No"/>
    <x v="1"/>
    <s v="No"/>
    <n v="0"/>
    <n v="0"/>
    <n v="5"/>
  </r>
  <r>
    <n v="3379"/>
    <x v="147"/>
    <x v="0"/>
    <x v="147"/>
    <x v="1"/>
    <x v="0"/>
    <x v="0"/>
    <s v="Yes"/>
    <x v="0"/>
    <s v="Yes"/>
    <n v="20"/>
    <n v="3"/>
    <n v="62"/>
  </r>
  <r>
    <n v="3380"/>
    <x v="148"/>
    <x v="2"/>
    <x v="148"/>
    <x v="0"/>
    <x v="2"/>
    <x v="1"/>
    <s v="No"/>
    <x v="1"/>
    <s v="Yes"/>
    <n v="20"/>
    <n v="15"/>
    <n v="15"/>
  </r>
  <r>
    <n v="3381"/>
    <x v="149"/>
    <x v="1"/>
    <x v="149"/>
    <x v="1"/>
    <x v="1"/>
    <x v="0"/>
    <s v="No"/>
    <x v="1"/>
    <s v="No"/>
    <n v="0"/>
    <n v="1"/>
    <n v="4"/>
  </r>
  <r>
    <n v="3382"/>
    <x v="150"/>
    <x v="0"/>
    <x v="150"/>
    <x v="0"/>
    <x v="0"/>
    <x v="2"/>
    <s v="Yes"/>
    <x v="0"/>
    <s v="Yes"/>
    <n v="20"/>
    <n v="7"/>
    <n v="58"/>
  </r>
  <r>
    <n v="3383"/>
    <x v="151"/>
    <x v="2"/>
    <x v="151"/>
    <x v="1"/>
    <x v="2"/>
    <x v="0"/>
    <s v="No"/>
    <x v="1"/>
    <s v="Yes"/>
    <n v="20"/>
    <n v="10"/>
    <n v="20"/>
  </r>
  <r>
    <n v="3384"/>
    <x v="152"/>
    <x v="1"/>
    <x v="152"/>
    <x v="0"/>
    <x v="1"/>
    <x v="1"/>
    <s v="No"/>
    <x v="1"/>
    <s v="No"/>
    <n v="0"/>
    <n v="0"/>
    <n v="5"/>
  </r>
  <r>
    <n v="3385"/>
    <x v="153"/>
    <x v="0"/>
    <x v="153"/>
    <x v="1"/>
    <x v="0"/>
    <x v="0"/>
    <s v="Yes"/>
    <x v="0"/>
    <s v="Yes"/>
    <n v="20"/>
    <n v="20"/>
    <n v="45"/>
  </r>
  <r>
    <n v="3386"/>
    <x v="154"/>
    <x v="2"/>
    <x v="154"/>
    <x v="0"/>
    <x v="2"/>
    <x v="2"/>
    <s v="No"/>
    <x v="1"/>
    <s v="Yes"/>
    <n v="20"/>
    <n v="15"/>
    <n v="15"/>
  </r>
  <r>
    <n v="3387"/>
    <x v="155"/>
    <x v="1"/>
    <x v="155"/>
    <x v="1"/>
    <x v="1"/>
    <x v="0"/>
    <s v="No"/>
    <x v="1"/>
    <s v="No"/>
    <n v="0"/>
    <n v="1"/>
    <n v="4"/>
  </r>
  <r>
    <n v="3388"/>
    <x v="156"/>
    <x v="0"/>
    <x v="156"/>
    <x v="0"/>
    <x v="0"/>
    <x v="1"/>
    <s v="Yes"/>
    <x v="0"/>
    <s v="Yes"/>
    <n v="20"/>
    <n v="3"/>
    <n v="62"/>
  </r>
  <r>
    <n v="3389"/>
    <x v="157"/>
    <x v="2"/>
    <x v="157"/>
    <x v="1"/>
    <x v="2"/>
    <x v="0"/>
    <s v="No"/>
    <x v="1"/>
    <s v="Yes"/>
    <n v="20"/>
    <n v="10"/>
    <n v="20"/>
  </r>
  <r>
    <n v="3390"/>
    <x v="158"/>
    <x v="1"/>
    <x v="158"/>
    <x v="0"/>
    <x v="1"/>
    <x v="2"/>
    <s v="No"/>
    <x v="1"/>
    <s v="No"/>
    <n v="0"/>
    <n v="0"/>
    <n v="5"/>
  </r>
  <r>
    <n v="3391"/>
    <x v="58"/>
    <x v="0"/>
    <x v="159"/>
    <x v="1"/>
    <x v="0"/>
    <x v="0"/>
    <s v="Yes"/>
    <x v="0"/>
    <s v="Yes"/>
    <n v="20"/>
    <n v="15"/>
    <n v="50"/>
  </r>
  <r>
    <n v="3392"/>
    <x v="159"/>
    <x v="2"/>
    <x v="160"/>
    <x v="0"/>
    <x v="2"/>
    <x v="1"/>
    <s v="No"/>
    <x v="1"/>
    <s v="Yes"/>
    <n v="20"/>
    <n v="15"/>
    <n v="15"/>
  </r>
  <r>
    <n v="3393"/>
    <x v="160"/>
    <x v="1"/>
    <x v="161"/>
    <x v="1"/>
    <x v="1"/>
    <x v="0"/>
    <s v="No"/>
    <x v="1"/>
    <s v="No"/>
    <n v="0"/>
    <n v="1"/>
    <n v="4"/>
  </r>
  <r>
    <n v="3394"/>
    <x v="161"/>
    <x v="0"/>
    <x v="162"/>
    <x v="0"/>
    <x v="0"/>
    <x v="2"/>
    <s v="Yes"/>
    <x v="0"/>
    <s v="Yes"/>
    <n v="20"/>
    <n v="7"/>
    <n v="58"/>
  </r>
  <r>
    <n v="3395"/>
    <x v="162"/>
    <x v="2"/>
    <x v="163"/>
    <x v="1"/>
    <x v="2"/>
    <x v="0"/>
    <s v="No"/>
    <x v="1"/>
    <s v="Yes"/>
    <n v="20"/>
    <n v="10"/>
    <n v="20"/>
  </r>
  <r>
    <n v="3396"/>
    <x v="163"/>
    <x v="1"/>
    <x v="164"/>
    <x v="0"/>
    <x v="1"/>
    <x v="1"/>
    <s v="No"/>
    <x v="1"/>
    <s v="No"/>
    <n v="0"/>
    <n v="0"/>
    <n v="5"/>
  </r>
  <r>
    <n v="3397"/>
    <x v="90"/>
    <x v="0"/>
    <x v="165"/>
    <x v="1"/>
    <x v="0"/>
    <x v="0"/>
    <s v="Yes"/>
    <x v="0"/>
    <s v="Yes"/>
    <n v="20"/>
    <n v="20"/>
    <n v="45"/>
  </r>
  <r>
    <n v="3398"/>
    <x v="164"/>
    <x v="2"/>
    <x v="166"/>
    <x v="0"/>
    <x v="2"/>
    <x v="2"/>
    <s v="No"/>
    <x v="1"/>
    <s v="Yes"/>
    <n v="20"/>
    <n v="15"/>
    <n v="15"/>
  </r>
  <r>
    <n v="3399"/>
    <x v="165"/>
    <x v="1"/>
    <x v="167"/>
    <x v="1"/>
    <x v="1"/>
    <x v="0"/>
    <s v="No"/>
    <x v="1"/>
    <s v="No"/>
    <n v="0"/>
    <n v="1"/>
    <n v="4"/>
  </r>
  <r>
    <n v="3400"/>
    <x v="166"/>
    <x v="0"/>
    <x v="168"/>
    <x v="0"/>
    <x v="0"/>
    <x v="1"/>
    <s v="Yes"/>
    <x v="0"/>
    <s v="Yes"/>
    <n v="20"/>
    <n v="5"/>
    <n v="60"/>
  </r>
  <r>
    <n v="3401"/>
    <x v="167"/>
    <x v="2"/>
    <x v="169"/>
    <x v="1"/>
    <x v="2"/>
    <x v="0"/>
    <s v="No"/>
    <x v="1"/>
    <s v="Yes"/>
    <n v="20"/>
    <n v="10"/>
    <n v="20"/>
  </r>
  <r>
    <n v="3402"/>
    <x v="168"/>
    <x v="1"/>
    <x v="170"/>
    <x v="0"/>
    <x v="1"/>
    <x v="2"/>
    <s v="No"/>
    <x v="1"/>
    <s v="No"/>
    <n v="0"/>
    <n v="0"/>
    <n v="5"/>
  </r>
  <r>
    <n v="3403"/>
    <x v="169"/>
    <x v="0"/>
    <x v="171"/>
    <x v="1"/>
    <x v="0"/>
    <x v="0"/>
    <s v="Yes"/>
    <x v="0"/>
    <s v="Yes"/>
    <n v="20"/>
    <n v="3"/>
    <n v="62"/>
  </r>
  <r>
    <n v="3404"/>
    <x v="170"/>
    <x v="2"/>
    <x v="172"/>
    <x v="0"/>
    <x v="2"/>
    <x v="1"/>
    <s v="No"/>
    <x v="1"/>
    <s v="Yes"/>
    <n v="20"/>
    <n v="15"/>
    <n v="15"/>
  </r>
  <r>
    <n v="3405"/>
    <x v="171"/>
    <x v="1"/>
    <x v="173"/>
    <x v="1"/>
    <x v="1"/>
    <x v="0"/>
    <s v="No"/>
    <x v="1"/>
    <s v="No"/>
    <n v="0"/>
    <n v="1"/>
    <n v="4"/>
  </r>
  <r>
    <n v="3406"/>
    <x v="172"/>
    <x v="1"/>
    <x v="174"/>
    <x v="0"/>
    <x v="1"/>
    <x v="0"/>
    <s v="No"/>
    <x v="1"/>
    <s v="No"/>
    <n v="0"/>
    <n v="0"/>
    <n v="5"/>
  </r>
  <r>
    <n v="3407"/>
    <x v="173"/>
    <x v="0"/>
    <x v="175"/>
    <x v="1"/>
    <x v="0"/>
    <x v="2"/>
    <s v="Yes"/>
    <x v="0"/>
    <s v="Yes"/>
    <n v="20"/>
    <n v="7"/>
    <n v="58"/>
  </r>
  <r>
    <n v="3408"/>
    <x v="174"/>
    <x v="2"/>
    <x v="176"/>
    <x v="0"/>
    <x v="2"/>
    <x v="1"/>
    <s v="No"/>
    <x v="1"/>
    <s v="Yes"/>
    <n v="20"/>
    <n v="10"/>
    <n v="20"/>
  </r>
  <r>
    <n v="3409"/>
    <x v="175"/>
    <x v="1"/>
    <x v="177"/>
    <x v="1"/>
    <x v="1"/>
    <x v="2"/>
    <s v="No"/>
    <x v="1"/>
    <s v="No"/>
    <n v="0"/>
    <n v="1"/>
    <n v="4"/>
  </r>
  <r>
    <n v="3410"/>
    <x v="176"/>
    <x v="0"/>
    <x v="178"/>
    <x v="0"/>
    <x v="0"/>
    <x v="0"/>
    <s v="Yes"/>
    <x v="0"/>
    <s v="Yes"/>
    <n v="20"/>
    <n v="15"/>
    <n v="50"/>
  </r>
  <r>
    <n v="3411"/>
    <x v="177"/>
    <x v="2"/>
    <x v="179"/>
    <x v="1"/>
    <x v="2"/>
    <x v="0"/>
    <s v="No"/>
    <x v="1"/>
    <s v="Yes"/>
    <n v="20"/>
    <n v="5"/>
    <n v="25"/>
  </r>
  <r>
    <n v="3412"/>
    <x v="178"/>
    <x v="1"/>
    <x v="180"/>
    <x v="0"/>
    <x v="1"/>
    <x v="1"/>
    <s v="No"/>
    <x v="1"/>
    <s v="No"/>
    <n v="0"/>
    <n v="0"/>
    <n v="5"/>
  </r>
  <r>
    <n v="3413"/>
    <x v="179"/>
    <x v="0"/>
    <x v="181"/>
    <x v="1"/>
    <x v="0"/>
    <x v="2"/>
    <s v="Yes"/>
    <x v="0"/>
    <s v="Yes"/>
    <n v="20"/>
    <n v="20"/>
    <n v="45"/>
  </r>
  <r>
    <n v="3414"/>
    <x v="180"/>
    <x v="2"/>
    <x v="182"/>
    <x v="0"/>
    <x v="2"/>
    <x v="2"/>
    <s v="No"/>
    <x v="1"/>
    <s v="Yes"/>
    <n v="20"/>
    <n v="12"/>
    <n v="18"/>
  </r>
  <r>
    <n v="3415"/>
    <x v="181"/>
    <x v="1"/>
    <x v="183"/>
    <x v="1"/>
    <x v="1"/>
    <x v="0"/>
    <s v="No"/>
    <x v="1"/>
    <s v="No"/>
    <n v="0"/>
    <n v="2"/>
    <n v="3"/>
  </r>
  <r>
    <n v="3416"/>
    <x v="182"/>
    <x v="0"/>
    <x v="184"/>
    <x v="0"/>
    <x v="0"/>
    <x v="1"/>
    <s v="Yes"/>
    <x v="0"/>
    <s v="Yes"/>
    <n v="20"/>
    <n v="5"/>
    <n v="60"/>
  </r>
  <r>
    <n v="3417"/>
    <x v="183"/>
    <x v="2"/>
    <x v="185"/>
    <x v="1"/>
    <x v="2"/>
    <x v="0"/>
    <s v="No"/>
    <x v="1"/>
    <s v="Yes"/>
    <n v="20"/>
    <n v="10"/>
    <n v="20"/>
  </r>
  <r>
    <n v="3418"/>
    <x v="184"/>
    <x v="1"/>
    <x v="186"/>
    <x v="0"/>
    <x v="1"/>
    <x v="2"/>
    <s v="No"/>
    <x v="1"/>
    <s v="No"/>
    <n v="0"/>
    <n v="0"/>
    <n v="5"/>
  </r>
  <r>
    <n v="3419"/>
    <x v="185"/>
    <x v="0"/>
    <x v="187"/>
    <x v="1"/>
    <x v="0"/>
    <x v="0"/>
    <s v="Yes"/>
    <x v="0"/>
    <s v="Yes"/>
    <n v="20"/>
    <n v="3"/>
    <n v="62"/>
  </r>
  <r>
    <n v="3420"/>
    <x v="186"/>
    <x v="2"/>
    <x v="188"/>
    <x v="0"/>
    <x v="2"/>
    <x v="1"/>
    <s v="No"/>
    <x v="1"/>
    <s v="Yes"/>
    <n v="20"/>
    <n v="15"/>
    <n v="15"/>
  </r>
  <r>
    <n v="3421"/>
    <x v="15"/>
    <x v="1"/>
    <x v="189"/>
    <x v="1"/>
    <x v="1"/>
    <x v="0"/>
    <s v="No"/>
    <x v="1"/>
    <s v="No"/>
    <n v="0"/>
    <n v="1"/>
    <n v="4"/>
  </r>
  <r>
    <n v="3422"/>
    <x v="187"/>
    <x v="0"/>
    <x v="190"/>
    <x v="0"/>
    <x v="0"/>
    <x v="2"/>
    <s v="Yes"/>
    <x v="0"/>
    <s v="Yes"/>
    <n v="20"/>
    <n v="7"/>
    <n v="58"/>
  </r>
  <r>
    <n v="3423"/>
    <x v="188"/>
    <x v="2"/>
    <x v="191"/>
    <x v="1"/>
    <x v="2"/>
    <x v="0"/>
    <s v="No"/>
    <x v="1"/>
    <s v="Yes"/>
    <n v="20"/>
    <n v="10"/>
    <n v="20"/>
  </r>
  <r>
    <n v="3424"/>
    <x v="14"/>
    <x v="1"/>
    <x v="192"/>
    <x v="0"/>
    <x v="1"/>
    <x v="1"/>
    <s v="No"/>
    <x v="1"/>
    <s v="No"/>
    <n v="0"/>
    <n v="0"/>
    <n v="5"/>
  </r>
  <r>
    <n v="3425"/>
    <x v="189"/>
    <x v="0"/>
    <x v="193"/>
    <x v="1"/>
    <x v="0"/>
    <x v="0"/>
    <s v="Yes"/>
    <x v="0"/>
    <s v="Yes"/>
    <n v="20"/>
    <n v="20"/>
    <n v="45"/>
  </r>
  <r>
    <n v="3426"/>
    <x v="167"/>
    <x v="2"/>
    <x v="194"/>
    <x v="0"/>
    <x v="2"/>
    <x v="2"/>
    <s v="No"/>
    <x v="1"/>
    <s v="Yes"/>
    <n v="20"/>
    <n v="15"/>
    <n v="15"/>
  </r>
  <r>
    <n v="3427"/>
    <x v="190"/>
    <x v="1"/>
    <x v="195"/>
    <x v="1"/>
    <x v="1"/>
    <x v="0"/>
    <s v="No"/>
    <x v="1"/>
    <s v="No"/>
    <n v="0"/>
    <n v="1"/>
    <n v="4"/>
  </r>
  <r>
    <n v="3428"/>
    <x v="191"/>
    <x v="0"/>
    <x v="196"/>
    <x v="0"/>
    <x v="0"/>
    <x v="1"/>
    <s v="Yes"/>
    <x v="0"/>
    <s v="Yes"/>
    <n v="20"/>
    <n v="3"/>
    <n v="62"/>
  </r>
  <r>
    <n v="3429"/>
    <x v="192"/>
    <x v="2"/>
    <x v="197"/>
    <x v="1"/>
    <x v="2"/>
    <x v="0"/>
    <s v="No"/>
    <x v="1"/>
    <s v="Yes"/>
    <n v="20"/>
    <n v="10"/>
    <n v="20"/>
  </r>
  <r>
    <n v="3430"/>
    <x v="193"/>
    <x v="1"/>
    <x v="198"/>
    <x v="0"/>
    <x v="1"/>
    <x v="2"/>
    <s v="No"/>
    <x v="1"/>
    <s v="No"/>
    <n v="0"/>
    <n v="0"/>
    <n v="5"/>
  </r>
  <r>
    <n v="3431"/>
    <x v="194"/>
    <x v="0"/>
    <x v="199"/>
    <x v="1"/>
    <x v="0"/>
    <x v="0"/>
    <s v="Yes"/>
    <x v="0"/>
    <s v="Yes"/>
    <n v="20"/>
    <n v="15"/>
    <n v="50"/>
  </r>
  <r>
    <n v="3432"/>
    <x v="195"/>
    <x v="2"/>
    <x v="200"/>
    <x v="0"/>
    <x v="2"/>
    <x v="1"/>
    <s v="No"/>
    <x v="1"/>
    <s v="Yes"/>
    <n v="20"/>
    <n v="15"/>
    <n v="15"/>
  </r>
  <r>
    <n v="3433"/>
    <x v="196"/>
    <x v="1"/>
    <x v="201"/>
    <x v="1"/>
    <x v="1"/>
    <x v="0"/>
    <s v="No"/>
    <x v="1"/>
    <s v="No"/>
    <n v="0"/>
    <n v="1"/>
    <n v="4"/>
  </r>
  <r>
    <n v="3434"/>
    <x v="197"/>
    <x v="0"/>
    <x v="202"/>
    <x v="0"/>
    <x v="0"/>
    <x v="2"/>
    <s v="Yes"/>
    <x v="0"/>
    <s v="Yes"/>
    <n v="20"/>
    <n v="7"/>
    <n v="58"/>
  </r>
  <r>
    <n v="3435"/>
    <x v="198"/>
    <x v="2"/>
    <x v="203"/>
    <x v="1"/>
    <x v="2"/>
    <x v="0"/>
    <s v="No"/>
    <x v="1"/>
    <s v="Yes"/>
    <n v="20"/>
    <n v="10"/>
    <n v="20"/>
  </r>
  <r>
    <n v="3436"/>
    <x v="199"/>
    <x v="1"/>
    <x v="204"/>
    <x v="0"/>
    <x v="1"/>
    <x v="0"/>
    <s v="No"/>
    <x v="1"/>
    <s v="No"/>
    <n v="0"/>
    <n v="0"/>
    <n v="5"/>
  </r>
  <r>
    <n v="3437"/>
    <x v="200"/>
    <x v="0"/>
    <x v="205"/>
    <x v="1"/>
    <x v="0"/>
    <x v="2"/>
    <s v="Yes"/>
    <x v="0"/>
    <s v="Yes"/>
    <n v="20"/>
    <n v="7"/>
    <n v="58"/>
  </r>
  <r>
    <n v="3438"/>
    <x v="201"/>
    <x v="2"/>
    <x v="206"/>
    <x v="0"/>
    <x v="2"/>
    <x v="1"/>
    <s v="No"/>
    <x v="1"/>
    <s v="Yes"/>
    <n v="20"/>
    <n v="10"/>
    <n v="20"/>
  </r>
  <r>
    <n v="3439"/>
    <x v="202"/>
    <x v="1"/>
    <x v="207"/>
    <x v="1"/>
    <x v="1"/>
    <x v="2"/>
    <s v="No"/>
    <x v="1"/>
    <s v="No"/>
    <n v="0"/>
    <n v="1"/>
    <n v="4"/>
  </r>
  <r>
    <n v="3440"/>
    <x v="203"/>
    <x v="0"/>
    <x v="208"/>
    <x v="0"/>
    <x v="0"/>
    <x v="0"/>
    <s v="Yes"/>
    <x v="0"/>
    <s v="Yes"/>
    <n v="20"/>
    <n v="15"/>
    <n v="50"/>
  </r>
  <r>
    <n v="3441"/>
    <x v="204"/>
    <x v="2"/>
    <x v="209"/>
    <x v="1"/>
    <x v="2"/>
    <x v="0"/>
    <s v="No"/>
    <x v="1"/>
    <s v="Yes"/>
    <n v="20"/>
    <n v="5"/>
    <n v="25"/>
  </r>
  <r>
    <n v="3442"/>
    <x v="205"/>
    <x v="1"/>
    <x v="210"/>
    <x v="0"/>
    <x v="1"/>
    <x v="1"/>
    <s v="No"/>
    <x v="1"/>
    <s v="No"/>
    <n v="0"/>
    <n v="0"/>
    <n v="5"/>
  </r>
  <r>
    <n v="3443"/>
    <x v="206"/>
    <x v="0"/>
    <x v="211"/>
    <x v="1"/>
    <x v="0"/>
    <x v="2"/>
    <s v="Yes"/>
    <x v="0"/>
    <s v="Yes"/>
    <n v="20"/>
    <n v="20"/>
    <n v="45"/>
  </r>
  <r>
    <n v="3444"/>
    <x v="207"/>
    <x v="2"/>
    <x v="212"/>
    <x v="0"/>
    <x v="2"/>
    <x v="2"/>
    <s v="No"/>
    <x v="1"/>
    <s v="Yes"/>
    <n v="20"/>
    <n v="12"/>
    <n v="18"/>
  </r>
  <r>
    <n v="3445"/>
    <x v="37"/>
    <x v="1"/>
    <x v="213"/>
    <x v="1"/>
    <x v="1"/>
    <x v="0"/>
    <s v="No"/>
    <x v="1"/>
    <s v="No"/>
    <n v="0"/>
    <n v="2"/>
    <n v="3"/>
  </r>
  <r>
    <n v="3446"/>
    <x v="208"/>
    <x v="0"/>
    <x v="214"/>
    <x v="0"/>
    <x v="0"/>
    <x v="1"/>
    <s v="Yes"/>
    <x v="0"/>
    <s v="Yes"/>
    <n v="20"/>
    <n v="5"/>
    <n v="60"/>
  </r>
  <r>
    <n v="3447"/>
    <x v="209"/>
    <x v="2"/>
    <x v="215"/>
    <x v="1"/>
    <x v="2"/>
    <x v="0"/>
    <s v="No"/>
    <x v="1"/>
    <s v="Yes"/>
    <n v="20"/>
    <n v="10"/>
    <n v="20"/>
  </r>
  <r>
    <n v="3448"/>
    <x v="210"/>
    <x v="1"/>
    <x v="216"/>
    <x v="0"/>
    <x v="1"/>
    <x v="2"/>
    <s v="No"/>
    <x v="1"/>
    <s v="No"/>
    <n v="0"/>
    <n v="0"/>
    <n v="5"/>
  </r>
  <r>
    <n v="3449"/>
    <x v="211"/>
    <x v="0"/>
    <x v="217"/>
    <x v="1"/>
    <x v="0"/>
    <x v="0"/>
    <s v="Yes"/>
    <x v="0"/>
    <s v="Yes"/>
    <n v="20"/>
    <n v="3"/>
    <n v="62"/>
  </r>
  <r>
    <n v="3450"/>
    <x v="212"/>
    <x v="2"/>
    <x v="218"/>
    <x v="0"/>
    <x v="2"/>
    <x v="1"/>
    <s v="No"/>
    <x v="1"/>
    <s v="Yes"/>
    <n v="20"/>
    <n v="15"/>
    <n v="15"/>
  </r>
  <r>
    <n v="3451"/>
    <x v="213"/>
    <x v="1"/>
    <x v="219"/>
    <x v="1"/>
    <x v="1"/>
    <x v="0"/>
    <s v="No"/>
    <x v="1"/>
    <s v="No"/>
    <n v="0"/>
    <n v="1"/>
    <n v="4"/>
  </r>
  <r>
    <n v="3452"/>
    <x v="191"/>
    <x v="0"/>
    <x v="220"/>
    <x v="0"/>
    <x v="0"/>
    <x v="2"/>
    <s v="Yes"/>
    <x v="0"/>
    <s v="Yes"/>
    <n v="20"/>
    <n v="7"/>
    <n v="58"/>
  </r>
  <r>
    <n v="3453"/>
    <x v="45"/>
    <x v="2"/>
    <x v="221"/>
    <x v="1"/>
    <x v="2"/>
    <x v="0"/>
    <s v="No"/>
    <x v="1"/>
    <s v="Yes"/>
    <n v="20"/>
    <n v="10"/>
    <n v="20"/>
  </r>
  <r>
    <n v="3454"/>
    <x v="214"/>
    <x v="1"/>
    <x v="222"/>
    <x v="0"/>
    <x v="1"/>
    <x v="1"/>
    <s v="No"/>
    <x v="1"/>
    <s v="No"/>
    <n v="0"/>
    <n v="0"/>
    <n v="5"/>
  </r>
  <r>
    <n v="3455"/>
    <x v="215"/>
    <x v="0"/>
    <x v="223"/>
    <x v="1"/>
    <x v="0"/>
    <x v="0"/>
    <s v="Yes"/>
    <x v="0"/>
    <s v="Yes"/>
    <n v="20"/>
    <n v="20"/>
    <n v="45"/>
  </r>
  <r>
    <n v="3456"/>
    <x v="216"/>
    <x v="2"/>
    <x v="224"/>
    <x v="0"/>
    <x v="2"/>
    <x v="2"/>
    <s v="No"/>
    <x v="1"/>
    <s v="Yes"/>
    <n v="20"/>
    <n v="15"/>
    <n v="15"/>
  </r>
  <r>
    <n v="3457"/>
    <x v="217"/>
    <x v="1"/>
    <x v="225"/>
    <x v="1"/>
    <x v="1"/>
    <x v="0"/>
    <s v="No"/>
    <x v="1"/>
    <s v="No"/>
    <n v="0"/>
    <n v="1"/>
    <n v="4"/>
  </r>
  <r>
    <n v="3458"/>
    <x v="218"/>
    <x v="0"/>
    <x v="226"/>
    <x v="0"/>
    <x v="0"/>
    <x v="1"/>
    <s v="Yes"/>
    <x v="0"/>
    <s v="Yes"/>
    <n v="20"/>
    <n v="3"/>
    <n v="62"/>
  </r>
  <r>
    <n v="3459"/>
    <x v="219"/>
    <x v="2"/>
    <x v="227"/>
    <x v="1"/>
    <x v="2"/>
    <x v="0"/>
    <s v="No"/>
    <x v="1"/>
    <s v="Yes"/>
    <n v="20"/>
    <n v="10"/>
    <n v="20"/>
  </r>
  <r>
    <n v="3460"/>
    <x v="127"/>
    <x v="1"/>
    <x v="228"/>
    <x v="0"/>
    <x v="1"/>
    <x v="2"/>
    <s v="No"/>
    <x v="1"/>
    <s v="No"/>
    <n v="0"/>
    <n v="0"/>
    <n v="5"/>
  </r>
  <r>
    <n v="3461"/>
    <x v="220"/>
    <x v="0"/>
    <x v="229"/>
    <x v="1"/>
    <x v="0"/>
    <x v="0"/>
    <s v="Yes"/>
    <x v="0"/>
    <s v="Yes"/>
    <n v="20"/>
    <n v="15"/>
    <n v="50"/>
  </r>
  <r>
    <n v="3462"/>
    <x v="221"/>
    <x v="2"/>
    <x v="230"/>
    <x v="0"/>
    <x v="2"/>
    <x v="1"/>
    <s v="No"/>
    <x v="1"/>
    <s v="Yes"/>
    <n v="20"/>
    <n v="15"/>
    <n v="15"/>
  </r>
  <r>
    <n v="3463"/>
    <x v="222"/>
    <x v="1"/>
    <x v="231"/>
    <x v="1"/>
    <x v="1"/>
    <x v="0"/>
    <s v="No"/>
    <x v="1"/>
    <s v="No"/>
    <n v="0"/>
    <n v="1"/>
    <n v="4"/>
  </r>
  <r>
    <n v="3464"/>
    <x v="223"/>
    <x v="0"/>
    <x v="232"/>
    <x v="0"/>
    <x v="0"/>
    <x v="2"/>
    <s v="Yes"/>
    <x v="0"/>
    <s v="Yes"/>
    <n v="20"/>
    <n v="7"/>
    <n v="58"/>
  </r>
  <r>
    <n v="3465"/>
    <x v="224"/>
    <x v="2"/>
    <x v="233"/>
    <x v="1"/>
    <x v="2"/>
    <x v="0"/>
    <s v="No"/>
    <x v="1"/>
    <s v="Yes"/>
    <n v="20"/>
    <n v="10"/>
    <n v="20"/>
  </r>
  <r>
    <n v="3466"/>
    <x v="225"/>
    <x v="1"/>
    <x v="234"/>
    <x v="0"/>
    <x v="1"/>
    <x v="1"/>
    <s v="No"/>
    <x v="1"/>
    <s v="No"/>
    <n v="0"/>
    <n v="0"/>
    <n v="5"/>
  </r>
  <r>
    <n v="3467"/>
    <x v="226"/>
    <x v="0"/>
    <x v="235"/>
    <x v="1"/>
    <x v="0"/>
    <x v="0"/>
    <s v="Yes"/>
    <x v="0"/>
    <s v="Yes"/>
    <n v="20"/>
    <n v="15"/>
    <n v="50"/>
  </r>
  <r>
    <n v="3468"/>
    <x v="227"/>
    <x v="2"/>
    <x v="236"/>
    <x v="0"/>
    <x v="2"/>
    <x v="2"/>
    <s v="No"/>
    <x v="1"/>
    <s v="Yes"/>
    <n v="20"/>
    <n v="12"/>
    <n v="18"/>
  </r>
  <r>
    <n v="3469"/>
    <x v="228"/>
    <x v="1"/>
    <x v="237"/>
    <x v="1"/>
    <x v="1"/>
    <x v="0"/>
    <s v="No"/>
    <x v="1"/>
    <s v="No"/>
    <n v="0"/>
    <n v="2"/>
    <n v="3"/>
  </r>
  <r>
    <n v="3470"/>
    <x v="229"/>
    <x v="0"/>
    <x v="238"/>
    <x v="0"/>
    <x v="0"/>
    <x v="1"/>
    <s v="Yes"/>
    <x v="0"/>
    <s v="Yes"/>
    <n v="20"/>
    <n v="5"/>
    <n v="60"/>
  </r>
  <r>
    <n v="3471"/>
    <x v="230"/>
    <x v="2"/>
    <x v="239"/>
    <x v="1"/>
    <x v="2"/>
    <x v="0"/>
    <s v="No"/>
    <x v="1"/>
    <s v="Yes"/>
    <n v="20"/>
    <n v="10"/>
    <n v="20"/>
  </r>
  <r>
    <n v="3472"/>
    <x v="231"/>
    <x v="1"/>
    <x v="240"/>
    <x v="0"/>
    <x v="1"/>
    <x v="2"/>
    <s v="No"/>
    <x v="1"/>
    <s v="No"/>
    <n v="0"/>
    <n v="0"/>
    <n v="5"/>
  </r>
  <r>
    <n v="3473"/>
    <x v="140"/>
    <x v="0"/>
    <x v="241"/>
    <x v="1"/>
    <x v="0"/>
    <x v="0"/>
    <s v="Yes"/>
    <x v="0"/>
    <s v="Yes"/>
    <n v="20"/>
    <n v="3"/>
    <n v="62"/>
  </r>
  <r>
    <n v="3474"/>
    <x v="232"/>
    <x v="2"/>
    <x v="242"/>
    <x v="0"/>
    <x v="2"/>
    <x v="1"/>
    <s v="No"/>
    <x v="1"/>
    <s v="Yes"/>
    <n v="20"/>
    <n v="15"/>
    <n v="15"/>
  </r>
  <r>
    <n v="3475"/>
    <x v="233"/>
    <x v="1"/>
    <x v="243"/>
    <x v="1"/>
    <x v="1"/>
    <x v="0"/>
    <s v="No"/>
    <x v="1"/>
    <s v="No"/>
    <n v="0"/>
    <n v="1"/>
    <n v="4"/>
  </r>
  <r>
    <n v="3476"/>
    <x v="234"/>
    <x v="0"/>
    <x v="244"/>
    <x v="0"/>
    <x v="0"/>
    <x v="2"/>
    <s v="Yes"/>
    <x v="0"/>
    <s v="Yes"/>
    <n v="20"/>
    <n v="7"/>
    <n v="58"/>
  </r>
  <r>
    <n v="3477"/>
    <x v="235"/>
    <x v="2"/>
    <x v="245"/>
    <x v="1"/>
    <x v="2"/>
    <x v="0"/>
    <s v="No"/>
    <x v="1"/>
    <s v="Yes"/>
    <n v="20"/>
    <n v="10"/>
    <n v="20"/>
  </r>
  <r>
    <n v="3478"/>
    <x v="236"/>
    <x v="1"/>
    <x v="246"/>
    <x v="0"/>
    <x v="1"/>
    <x v="1"/>
    <s v="No"/>
    <x v="1"/>
    <s v="No"/>
    <n v="0"/>
    <n v="0"/>
    <n v="5"/>
  </r>
  <r>
    <n v="3479"/>
    <x v="237"/>
    <x v="0"/>
    <x v="247"/>
    <x v="1"/>
    <x v="0"/>
    <x v="0"/>
    <s v="Yes"/>
    <x v="0"/>
    <s v="Yes"/>
    <n v="20"/>
    <n v="20"/>
    <n v="45"/>
  </r>
  <r>
    <n v="3480"/>
    <x v="238"/>
    <x v="2"/>
    <x v="248"/>
    <x v="0"/>
    <x v="2"/>
    <x v="2"/>
    <s v="No"/>
    <x v="1"/>
    <s v="Yes"/>
    <n v="20"/>
    <n v="15"/>
    <n v="15"/>
  </r>
  <r>
    <n v="3481"/>
    <x v="239"/>
    <x v="1"/>
    <x v="249"/>
    <x v="1"/>
    <x v="1"/>
    <x v="0"/>
    <s v="No"/>
    <x v="1"/>
    <s v="No"/>
    <n v="0"/>
    <n v="1"/>
    <n v="4"/>
  </r>
  <r>
    <n v="3482"/>
    <x v="240"/>
    <x v="0"/>
    <x v="250"/>
    <x v="0"/>
    <x v="0"/>
    <x v="1"/>
    <s v="Yes"/>
    <x v="0"/>
    <s v="Yes"/>
    <n v="20"/>
    <n v="3"/>
    <n v="62"/>
  </r>
  <r>
    <n v="3483"/>
    <x v="241"/>
    <x v="2"/>
    <x v="251"/>
    <x v="1"/>
    <x v="2"/>
    <x v="0"/>
    <s v="No"/>
    <x v="1"/>
    <s v="Yes"/>
    <n v="20"/>
    <n v="10"/>
    <n v="20"/>
  </r>
  <r>
    <n v="3484"/>
    <x v="242"/>
    <x v="1"/>
    <x v="252"/>
    <x v="0"/>
    <x v="1"/>
    <x v="2"/>
    <s v="No"/>
    <x v="1"/>
    <s v="No"/>
    <n v="0"/>
    <n v="0"/>
    <n v="5"/>
  </r>
  <r>
    <n v="3485"/>
    <x v="243"/>
    <x v="0"/>
    <x v="253"/>
    <x v="1"/>
    <x v="0"/>
    <x v="0"/>
    <s v="Yes"/>
    <x v="0"/>
    <s v="Yes"/>
    <n v="20"/>
    <n v="15"/>
    <n v="50"/>
  </r>
  <r>
    <n v="3486"/>
    <x v="244"/>
    <x v="1"/>
    <x v="254"/>
    <x v="0"/>
    <x v="1"/>
    <x v="0"/>
    <s v="No"/>
    <x v="1"/>
    <s v="No"/>
    <n v="0"/>
    <n v="0"/>
    <n v="5"/>
  </r>
  <r>
    <n v="3487"/>
    <x v="245"/>
    <x v="0"/>
    <x v="255"/>
    <x v="1"/>
    <x v="0"/>
    <x v="2"/>
    <s v="Yes"/>
    <x v="0"/>
    <s v="Yes"/>
    <n v="20"/>
    <n v="7"/>
    <n v="58"/>
  </r>
  <r>
    <n v="3488"/>
    <x v="246"/>
    <x v="2"/>
    <x v="256"/>
    <x v="0"/>
    <x v="2"/>
    <x v="1"/>
    <s v="No"/>
    <x v="1"/>
    <s v="Yes"/>
    <n v="20"/>
    <n v="10"/>
    <n v="20"/>
  </r>
  <r>
    <n v="3489"/>
    <x v="247"/>
    <x v="1"/>
    <x v="257"/>
    <x v="1"/>
    <x v="1"/>
    <x v="2"/>
    <s v="No"/>
    <x v="1"/>
    <s v="No"/>
    <n v="0"/>
    <n v="1"/>
    <n v="4"/>
  </r>
  <r>
    <n v="3490"/>
    <x v="248"/>
    <x v="0"/>
    <x v="258"/>
    <x v="0"/>
    <x v="0"/>
    <x v="0"/>
    <s v="Yes"/>
    <x v="0"/>
    <s v="Yes"/>
    <n v="20"/>
    <n v="15"/>
    <n v="50"/>
  </r>
  <r>
    <n v="3491"/>
    <x v="249"/>
    <x v="2"/>
    <x v="259"/>
    <x v="1"/>
    <x v="2"/>
    <x v="0"/>
    <s v="No"/>
    <x v="1"/>
    <s v="Yes"/>
    <n v="20"/>
    <n v="5"/>
    <n v="25"/>
  </r>
  <r>
    <n v="3492"/>
    <x v="250"/>
    <x v="1"/>
    <x v="260"/>
    <x v="0"/>
    <x v="1"/>
    <x v="1"/>
    <s v="No"/>
    <x v="1"/>
    <s v="No"/>
    <n v="0"/>
    <n v="0"/>
    <n v="5"/>
  </r>
  <r>
    <n v="3493"/>
    <x v="251"/>
    <x v="0"/>
    <x v="261"/>
    <x v="1"/>
    <x v="0"/>
    <x v="2"/>
    <s v="Yes"/>
    <x v="0"/>
    <s v="Yes"/>
    <n v="20"/>
    <n v="20"/>
    <n v="45"/>
  </r>
  <r>
    <n v="3494"/>
    <x v="252"/>
    <x v="2"/>
    <x v="262"/>
    <x v="0"/>
    <x v="2"/>
    <x v="2"/>
    <s v="No"/>
    <x v="1"/>
    <s v="Yes"/>
    <n v="20"/>
    <n v="12"/>
    <n v="18"/>
  </r>
  <r>
    <n v="3495"/>
    <x v="253"/>
    <x v="1"/>
    <x v="263"/>
    <x v="1"/>
    <x v="1"/>
    <x v="0"/>
    <s v="No"/>
    <x v="1"/>
    <s v="No"/>
    <n v="0"/>
    <n v="2"/>
    <n v="3"/>
  </r>
  <r>
    <n v="3496"/>
    <x v="254"/>
    <x v="0"/>
    <x v="264"/>
    <x v="0"/>
    <x v="0"/>
    <x v="1"/>
    <s v="Yes"/>
    <x v="0"/>
    <s v="Yes"/>
    <n v="20"/>
    <n v="5"/>
    <n v="60"/>
  </r>
  <r>
    <n v="3497"/>
    <x v="255"/>
    <x v="2"/>
    <x v="265"/>
    <x v="1"/>
    <x v="2"/>
    <x v="0"/>
    <s v="No"/>
    <x v="1"/>
    <s v="Yes"/>
    <n v="20"/>
    <n v="10"/>
    <n v="20"/>
  </r>
  <r>
    <n v="3498"/>
    <x v="256"/>
    <x v="1"/>
    <x v="266"/>
    <x v="0"/>
    <x v="1"/>
    <x v="2"/>
    <s v="No"/>
    <x v="1"/>
    <s v="No"/>
    <n v="0"/>
    <n v="0"/>
    <n v="5"/>
  </r>
  <r>
    <n v="3499"/>
    <x v="257"/>
    <x v="0"/>
    <x v="267"/>
    <x v="1"/>
    <x v="0"/>
    <x v="0"/>
    <s v="Yes"/>
    <x v="0"/>
    <s v="Yes"/>
    <n v="20"/>
    <n v="3"/>
    <n v="62"/>
  </r>
  <r>
    <n v="3500"/>
    <x v="258"/>
    <x v="2"/>
    <x v="268"/>
    <x v="0"/>
    <x v="2"/>
    <x v="1"/>
    <s v="No"/>
    <x v="1"/>
    <s v="Yes"/>
    <n v="20"/>
    <n v="15"/>
    <n v="15"/>
  </r>
  <r>
    <n v="3501"/>
    <x v="259"/>
    <x v="1"/>
    <x v="269"/>
    <x v="1"/>
    <x v="1"/>
    <x v="0"/>
    <s v="No"/>
    <x v="1"/>
    <s v="No"/>
    <n v="0"/>
    <n v="1"/>
    <n v="4"/>
  </r>
  <r>
    <n v="3502"/>
    <x v="260"/>
    <x v="0"/>
    <x v="270"/>
    <x v="0"/>
    <x v="0"/>
    <x v="2"/>
    <s v="Yes"/>
    <x v="0"/>
    <s v="Yes"/>
    <n v="20"/>
    <n v="7"/>
    <n v="58"/>
  </r>
  <r>
    <n v="3503"/>
    <x v="119"/>
    <x v="2"/>
    <x v="271"/>
    <x v="1"/>
    <x v="2"/>
    <x v="0"/>
    <s v="No"/>
    <x v="1"/>
    <s v="Yes"/>
    <n v="20"/>
    <n v="10"/>
    <n v="20"/>
  </r>
  <r>
    <n v="3504"/>
    <x v="261"/>
    <x v="1"/>
    <x v="272"/>
    <x v="0"/>
    <x v="1"/>
    <x v="1"/>
    <s v="No"/>
    <x v="1"/>
    <s v="No"/>
    <n v="0"/>
    <n v="0"/>
    <n v="5"/>
  </r>
  <r>
    <n v="3505"/>
    <x v="262"/>
    <x v="0"/>
    <x v="273"/>
    <x v="1"/>
    <x v="0"/>
    <x v="0"/>
    <s v="Yes"/>
    <x v="0"/>
    <s v="Yes"/>
    <n v="20"/>
    <n v="20"/>
    <n v="45"/>
  </r>
  <r>
    <n v="3506"/>
    <x v="263"/>
    <x v="2"/>
    <x v="274"/>
    <x v="0"/>
    <x v="2"/>
    <x v="2"/>
    <s v="No"/>
    <x v="1"/>
    <s v="Yes"/>
    <n v="20"/>
    <n v="15"/>
    <n v="15"/>
  </r>
  <r>
    <n v="3507"/>
    <x v="264"/>
    <x v="1"/>
    <x v="275"/>
    <x v="1"/>
    <x v="1"/>
    <x v="0"/>
    <s v="No"/>
    <x v="1"/>
    <s v="No"/>
    <n v="0"/>
    <n v="1"/>
    <n v="4"/>
  </r>
  <r>
    <n v="3508"/>
    <x v="265"/>
    <x v="0"/>
    <x v="276"/>
    <x v="0"/>
    <x v="0"/>
    <x v="1"/>
    <s v="Yes"/>
    <x v="0"/>
    <s v="Yes"/>
    <n v="20"/>
    <n v="3"/>
    <n v="62"/>
  </r>
  <r>
    <n v="3509"/>
    <x v="266"/>
    <x v="2"/>
    <x v="277"/>
    <x v="1"/>
    <x v="2"/>
    <x v="0"/>
    <s v="No"/>
    <x v="1"/>
    <s v="Yes"/>
    <n v="20"/>
    <n v="10"/>
    <n v="20"/>
  </r>
  <r>
    <n v="3510"/>
    <x v="267"/>
    <x v="1"/>
    <x v="278"/>
    <x v="0"/>
    <x v="1"/>
    <x v="2"/>
    <s v="No"/>
    <x v="1"/>
    <s v="No"/>
    <n v="0"/>
    <n v="0"/>
    <n v="5"/>
  </r>
  <r>
    <n v="3511"/>
    <x v="268"/>
    <x v="0"/>
    <x v="279"/>
    <x v="1"/>
    <x v="0"/>
    <x v="0"/>
    <s v="Yes"/>
    <x v="0"/>
    <s v="Yes"/>
    <n v="20"/>
    <n v="15"/>
    <n v="50"/>
  </r>
  <r>
    <n v="3512"/>
    <x v="269"/>
    <x v="2"/>
    <x v="280"/>
    <x v="0"/>
    <x v="2"/>
    <x v="1"/>
    <s v="No"/>
    <x v="1"/>
    <s v="Yes"/>
    <n v="20"/>
    <n v="15"/>
    <n v="15"/>
  </r>
  <r>
    <n v="3513"/>
    <x v="270"/>
    <x v="1"/>
    <x v="281"/>
    <x v="1"/>
    <x v="1"/>
    <x v="0"/>
    <s v="No"/>
    <x v="1"/>
    <s v="No"/>
    <n v="0"/>
    <n v="1"/>
    <n v="4"/>
  </r>
  <r>
    <n v="3514"/>
    <x v="271"/>
    <x v="0"/>
    <x v="282"/>
    <x v="0"/>
    <x v="0"/>
    <x v="2"/>
    <s v="Yes"/>
    <x v="0"/>
    <s v="Yes"/>
    <n v="20"/>
    <n v="7"/>
    <n v="58"/>
  </r>
  <r>
    <n v="3515"/>
    <x v="130"/>
    <x v="2"/>
    <x v="283"/>
    <x v="1"/>
    <x v="2"/>
    <x v="0"/>
    <s v="No"/>
    <x v="1"/>
    <s v="Yes"/>
    <n v="20"/>
    <n v="10"/>
    <n v="20"/>
  </r>
  <r>
    <n v="3516"/>
    <x v="131"/>
    <x v="1"/>
    <x v="284"/>
    <x v="0"/>
    <x v="1"/>
    <x v="1"/>
    <s v="No"/>
    <x v="1"/>
    <s v="No"/>
    <n v="0"/>
    <n v="0"/>
    <n v="5"/>
  </r>
  <r>
    <n v="3517"/>
    <x v="181"/>
    <x v="0"/>
    <x v="285"/>
    <x v="1"/>
    <x v="0"/>
    <x v="0"/>
    <s v="Yes"/>
    <x v="0"/>
    <s v="Yes"/>
    <n v="20"/>
    <n v="20"/>
    <n v="45"/>
  </r>
  <r>
    <n v="3518"/>
    <x v="272"/>
    <x v="2"/>
    <x v="286"/>
    <x v="0"/>
    <x v="2"/>
    <x v="2"/>
    <s v="No"/>
    <x v="1"/>
    <s v="Yes"/>
    <n v="20"/>
    <n v="12"/>
    <n v="18"/>
  </r>
  <r>
    <n v="3519"/>
    <x v="273"/>
    <x v="1"/>
    <x v="287"/>
    <x v="1"/>
    <x v="1"/>
    <x v="0"/>
    <s v="No"/>
    <x v="1"/>
    <s v="No"/>
    <n v="0"/>
    <n v="2"/>
    <n v="3"/>
  </r>
  <r>
    <n v="3520"/>
    <x v="274"/>
    <x v="0"/>
    <x v="288"/>
    <x v="0"/>
    <x v="0"/>
    <x v="1"/>
    <s v="Yes"/>
    <x v="0"/>
    <s v="Yes"/>
    <n v="20"/>
    <n v="5"/>
    <n v="60"/>
  </r>
  <r>
    <n v="3521"/>
    <x v="275"/>
    <x v="2"/>
    <x v="289"/>
    <x v="1"/>
    <x v="2"/>
    <x v="0"/>
    <s v="No"/>
    <x v="1"/>
    <s v="Yes"/>
    <n v="20"/>
    <n v="10"/>
    <n v="20"/>
  </r>
  <r>
    <n v="3522"/>
    <x v="276"/>
    <x v="1"/>
    <x v="290"/>
    <x v="0"/>
    <x v="1"/>
    <x v="2"/>
    <s v="No"/>
    <x v="1"/>
    <s v="No"/>
    <n v="0"/>
    <n v="0"/>
    <n v="5"/>
  </r>
  <r>
    <n v="3523"/>
    <x v="277"/>
    <x v="0"/>
    <x v="291"/>
    <x v="1"/>
    <x v="0"/>
    <x v="0"/>
    <s v="Yes"/>
    <x v="0"/>
    <s v="Yes"/>
    <n v="20"/>
    <n v="3"/>
    <n v="62"/>
  </r>
  <r>
    <n v="3524"/>
    <x v="278"/>
    <x v="2"/>
    <x v="292"/>
    <x v="0"/>
    <x v="2"/>
    <x v="1"/>
    <s v="No"/>
    <x v="1"/>
    <s v="Yes"/>
    <n v="20"/>
    <n v="15"/>
    <n v="15"/>
  </r>
  <r>
    <n v="3525"/>
    <x v="279"/>
    <x v="1"/>
    <x v="293"/>
    <x v="1"/>
    <x v="1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5EE5B8-024F-4E62-83FF-55BF5B212727}" name="Tabela dinâmica1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4">
  <location ref="B43:D56" firstHeaderRow="0" firstDataRow="1" firstDataCol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dataField="1" numFmtId="44" showAll="0">
      <items count="4">
        <item x="1"/>
        <item x="2"/>
        <item x="0"/>
        <item t="default"/>
      </items>
    </pivotField>
    <pivotField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numFmtId="44" showAll="0"/>
    <pivotField numFmtId="44" showAll="0"/>
    <pivotField dataField="1" numFmtId="44" showAll="0"/>
    <pivotField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1">
    <field x="14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Total Value" fld="12" baseField="0" baseItem="0" numFmtId="44"/>
    <dataField name="Média de Subscription Price" fld="5" subtotal="average" baseField="14" baseItem="1" numFmtId="44"/>
  </dataFields>
  <chartFormats count="2">
    <chartFormat chart="13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3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B11:C14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2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5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>
      <items count="295">
        <item x="0"/>
        <item x="1"/>
        <item x="2"/>
        <item x="3"/>
        <item x="5"/>
        <item x="6"/>
        <item x="7"/>
        <item x="4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t="default"/>
      </items>
    </pivotField>
    <pivotField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  <pivotField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  <pivotTable tabId="3" name="Tabela dinâmica1"/>
  </pivotTables>
  <data>
    <tabular pivotCacheId="1765956580">
      <items count="3">
        <i x="1" s="1"/>
        <i x="0" s="1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3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zoomScaleNormal="100" workbookViewId="0">
      <selection activeCell="B5" sqref="B5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topLeftCell="D1" zoomScale="90" zoomScaleNormal="90" workbookViewId="0">
      <selection activeCell="B5" sqref="B5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56"/>
  <sheetViews>
    <sheetView showGridLines="0" topLeftCell="A34" workbookViewId="0">
      <selection activeCell="B5" sqref="B5"/>
    </sheetView>
  </sheetViews>
  <sheetFormatPr defaultRowHeight="14.4" x14ac:dyDescent="0.3"/>
  <cols>
    <col min="2" max="2" width="17.88671875" bestFit="1" customWidth="1"/>
    <col min="3" max="3" width="18.77734375" bestFit="1" customWidth="1"/>
    <col min="4" max="4" width="25.77734375" bestFit="1" customWidth="1"/>
    <col min="5" max="5" width="12.109375" bestFit="1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19" t="s">
        <v>317</v>
      </c>
      <c r="C3" s="19"/>
      <c r="D3" s="19"/>
      <c r="E3" s="19"/>
      <c r="F3" s="19"/>
    </row>
    <row r="6" spans="2:6" x14ac:dyDescent="0.3">
      <c r="B6" t="s">
        <v>318</v>
      </c>
    </row>
    <row r="7" spans="2:6" x14ac:dyDescent="0.3">
      <c r="B7" t="s">
        <v>320</v>
      </c>
    </row>
    <row r="9" spans="2:6" x14ac:dyDescent="0.3">
      <c r="B9" s="12" t="s">
        <v>16</v>
      </c>
      <c r="C9" t="s">
        <v>324</v>
      </c>
    </row>
    <row r="11" spans="2:6" x14ac:dyDescent="0.3">
      <c r="B11" s="12" t="s">
        <v>309</v>
      </c>
      <c r="C11" t="s">
        <v>319</v>
      </c>
    </row>
    <row r="12" spans="2:6" x14ac:dyDescent="0.3">
      <c r="B12" s="14" t="s">
        <v>23</v>
      </c>
      <c r="C12" s="13">
        <v>3847</v>
      </c>
    </row>
    <row r="13" spans="2:6" x14ac:dyDescent="0.3">
      <c r="B13" s="14" t="s">
        <v>19</v>
      </c>
      <c r="C13" s="13">
        <v>3786</v>
      </c>
    </row>
    <row r="14" spans="2:6" x14ac:dyDescent="0.3">
      <c r="B14" s="14" t="s">
        <v>310</v>
      </c>
      <c r="C14" s="13">
        <v>7633</v>
      </c>
    </row>
    <row r="17" spans="2:5" x14ac:dyDescent="0.3">
      <c r="B17" s="14" t="s">
        <v>321</v>
      </c>
    </row>
    <row r="19" spans="2:5" x14ac:dyDescent="0.3">
      <c r="B19" s="12" t="s">
        <v>16</v>
      </c>
      <c r="C19" t="s">
        <v>324</v>
      </c>
    </row>
    <row r="21" spans="2:5" x14ac:dyDescent="0.3">
      <c r="B21" s="12" t="s">
        <v>309</v>
      </c>
      <c r="C21" t="s">
        <v>316</v>
      </c>
    </row>
    <row r="22" spans="2:5" x14ac:dyDescent="0.3">
      <c r="B22" s="14" t="s">
        <v>22</v>
      </c>
      <c r="C22" s="20">
        <v>0</v>
      </c>
    </row>
    <row r="23" spans="2:5" x14ac:dyDescent="0.3">
      <c r="B23" s="14" t="s">
        <v>26</v>
      </c>
      <c r="C23" s="20">
        <v>0</v>
      </c>
    </row>
    <row r="24" spans="2:5" x14ac:dyDescent="0.3">
      <c r="B24" s="14" t="s">
        <v>18</v>
      </c>
      <c r="C24" s="20">
        <v>2940</v>
      </c>
    </row>
    <row r="25" spans="2:5" x14ac:dyDescent="0.3">
      <c r="B25" s="14" t="s">
        <v>310</v>
      </c>
      <c r="C25" s="20">
        <v>2940</v>
      </c>
      <c r="E25" s="16">
        <f>GETPIVOTDATA("EA Play Season Pass
Price",$B$21)</f>
        <v>2940</v>
      </c>
    </row>
    <row r="28" spans="2:5" x14ac:dyDescent="0.3">
      <c r="B28" s="14" t="s">
        <v>322</v>
      </c>
    </row>
    <row r="30" spans="2:5" x14ac:dyDescent="0.3">
      <c r="B30" s="12" t="s">
        <v>16</v>
      </c>
      <c r="C30" t="s">
        <v>324</v>
      </c>
    </row>
    <row r="32" spans="2:5" x14ac:dyDescent="0.3">
      <c r="B32" s="12" t="s">
        <v>309</v>
      </c>
      <c r="C32" t="s">
        <v>311</v>
      </c>
    </row>
    <row r="33" spans="2:5" x14ac:dyDescent="0.3">
      <c r="B33" s="14" t="s">
        <v>22</v>
      </c>
      <c r="C33" s="13">
        <v>0</v>
      </c>
    </row>
    <row r="34" spans="2:5" x14ac:dyDescent="0.3">
      <c r="B34" s="14" t="s">
        <v>26</v>
      </c>
      <c r="C34" s="13">
        <v>1920</v>
      </c>
    </row>
    <row r="35" spans="2:5" x14ac:dyDescent="0.3">
      <c r="B35" s="14" t="s">
        <v>18</v>
      </c>
      <c r="C35" s="13">
        <v>1960</v>
      </c>
    </row>
    <row r="36" spans="2:5" x14ac:dyDescent="0.3">
      <c r="B36" s="14" t="s">
        <v>310</v>
      </c>
      <c r="C36" s="13">
        <v>3880</v>
      </c>
      <c r="E36" s="16">
        <f>GETPIVOTDATA("Minecraft Season Pass Price",$B$32)</f>
        <v>3880</v>
      </c>
    </row>
    <row r="39" spans="2:5" x14ac:dyDescent="0.3">
      <c r="B39" s="14" t="s">
        <v>325</v>
      </c>
    </row>
    <row r="43" spans="2:5" x14ac:dyDescent="0.3">
      <c r="B43" s="12" t="s">
        <v>309</v>
      </c>
      <c r="C43" t="s">
        <v>319</v>
      </c>
      <c r="D43" t="s">
        <v>338</v>
      </c>
    </row>
    <row r="44" spans="2:5" x14ac:dyDescent="0.3">
      <c r="B44" s="14" t="s">
        <v>326</v>
      </c>
      <c r="C44" s="13">
        <v>65</v>
      </c>
      <c r="D44" s="13">
        <v>10</v>
      </c>
    </row>
    <row r="45" spans="2:5" x14ac:dyDescent="0.3">
      <c r="B45" s="14" t="s">
        <v>327</v>
      </c>
      <c r="C45" s="13">
        <v>82</v>
      </c>
      <c r="D45" s="13">
        <v>12.5</v>
      </c>
    </row>
    <row r="46" spans="2:5" x14ac:dyDescent="0.3">
      <c r="B46" s="14" t="s">
        <v>328</v>
      </c>
      <c r="C46" s="13">
        <v>801</v>
      </c>
      <c r="D46" s="13">
        <v>9.8387096774193541</v>
      </c>
    </row>
    <row r="47" spans="2:5" x14ac:dyDescent="0.3">
      <c r="B47" s="14" t="s">
        <v>329</v>
      </c>
      <c r="C47" s="13">
        <v>782</v>
      </c>
      <c r="D47" s="13">
        <v>10</v>
      </c>
    </row>
    <row r="48" spans="2:5" x14ac:dyDescent="0.3">
      <c r="B48" s="14" t="s">
        <v>330</v>
      </c>
      <c r="C48" s="13">
        <v>777</v>
      </c>
      <c r="D48" s="13">
        <v>9.8387096774193541</v>
      </c>
    </row>
    <row r="49" spans="2:4" x14ac:dyDescent="0.3">
      <c r="B49" s="14" t="s">
        <v>331</v>
      </c>
      <c r="C49" s="13">
        <v>770</v>
      </c>
      <c r="D49" s="13">
        <v>10</v>
      </c>
    </row>
    <row r="50" spans="2:4" x14ac:dyDescent="0.3">
      <c r="B50" s="14" t="s">
        <v>332</v>
      </c>
      <c r="C50" s="13">
        <v>784</v>
      </c>
      <c r="D50" s="13">
        <v>9.8387096774193541</v>
      </c>
    </row>
    <row r="51" spans="2:4" x14ac:dyDescent="0.3">
      <c r="B51" s="14" t="s">
        <v>333</v>
      </c>
      <c r="C51" s="13">
        <v>787</v>
      </c>
      <c r="D51" s="13">
        <v>9.8387096774193541</v>
      </c>
    </row>
    <row r="52" spans="2:4" x14ac:dyDescent="0.3">
      <c r="B52" s="14" t="s">
        <v>334</v>
      </c>
      <c r="C52" s="13">
        <v>780</v>
      </c>
      <c r="D52" s="13">
        <v>10</v>
      </c>
    </row>
    <row r="53" spans="2:4" x14ac:dyDescent="0.3">
      <c r="B53" s="14" t="s">
        <v>335</v>
      </c>
      <c r="C53" s="13">
        <v>832</v>
      </c>
      <c r="D53" s="13">
        <v>10.161290322580646</v>
      </c>
    </row>
    <row r="54" spans="2:4" x14ac:dyDescent="0.3">
      <c r="B54" s="14" t="s">
        <v>336</v>
      </c>
      <c r="C54" s="13">
        <v>784</v>
      </c>
      <c r="D54" s="13">
        <v>10</v>
      </c>
    </row>
    <row r="55" spans="2:4" x14ac:dyDescent="0.3">
      <c r="B55" s="14" t="s">
        <v>337</v>
      </c>
      <c r="C55" s="13">
        <v>389</v>
      </c>
      <c r="D55" s="13">
        <v>9.6875</v>
      </c>
    </row>
    <row r="56" spans="2:4" x14ac:dyDescent="0.3">
      <c r="B56" s="14" t="s">
        <v>310</v>
      </c>
      <c r="C56" s="13">
        <v>7633</v>
      </c>
      <c r="D56" s="13">
        <v>9.9491525423728806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="80" zoomScaleNormal="80" workbookViewId="0">
      <selection activeCell="U19" sqref="U19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Props1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Felipe Carvalho</cp:lastModifiedBy>
  <dcterms:created xsi:type="dcterms:W3CDTF">2024-12-19T13:13:10Z</dcterms:created>
  <dcterms:modified xsi:type="dcterms:W3CDTF">2025-11-07T02:45:28Z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